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rey\Downloads\"/>
    </mc:Choice>
  </mc:AlternateContent>
  <xr:revisionPtr revIDLastSave="0" documentId="13_ncr:1_{79062934-573B-4B9B-BD14-FAD141AF55F2}" xr6:coauthVersionLast="47" xr6:coauthVersionMax="47" xr10:uidLastSave="{00000000-0000-0000-0000-000000000000}"/>
  <bookViews>
    <workbookView xWindow="-108" yWindow="-108" windowWidth="23256" windowHeight="12456" tabRatio="598" firstSheet="9" activeTab="9" xr2:uid="{55F900C8-5494-4815-95FF-4E9FE1CAA0B5}"/>
  </bookViews>
  <sheets>
    <sheet name="HDFC Bank" sheetId="1" state="hidden" r:id="rId1"/>
    <sheet name="ICIC Bank" sheetId="2" state="hidden" r:id="rId2"/>
    <sheet name="State Bank of India" sheetId="3" state="hidden" r:id="rId3"/>
    <sheet name="Table" sheetId="4" state="hidden" r:id="rId4"/>
    <sheet name="Metric Table" sheetId="5" state="hidden" r:id="rId5"/>
    <sheet name="profit" sheetId="8" state="hidden" r:id="rId6"/>
    <sheet name="ROE" sheetId="9" state="hidden" r:id="rId7"/>
    <sheet name="Lone Growth" sheetId="10" state="hidden" r:id="rId8"/>
    <sheet name="Loan" sheetId="12" state="hidden" r:id="rId9"/>
    <sheet name="Dashboard" sheetId="13" r:id="rId10"/>
  </sheets>
  <definedNames>
    <definedName name="Slicer_Company">#N/A</definedName>
    <definedName name="Slicer_Metric">#N/A</definedName>
    <definedName name="Slicer_Year">#N/A</definedName>
  </definedNames>
  <calcPr calcId="191029"/>
  <pivotCaches>
    <pivotCache cacheId="1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 i="4" l="1"/>
  <c r="H13" i="4"/>
  <c r="G13" i="4"/>
  <c r="I12" i="4"/>
  <c r="H12" i="4"/>
  <c r="G12" i="4"/>
  <c r="I11" i="4"/>
  <c r="H11" i="4"/>
  <c r="G11" i="4"/>
  <c r="H10" i="4"/>
  <c r="G10" i="4"/>
  <c r="I9" i="4"/>
  <c r="H9" i="4"/>
  <c r="G9" i="4"/>
  <c r="I8" i="4"/>
  <c r="H8" i="4"/>
  <c r="G8" i="4"/>
  <c r="I7" i="4"/>
  <c r="H7" i="4"/>
  <c r="G7" i="4"/>
  <c r="H6" i="4"/>
  <c r="G6" i="4"/>
  <c r="I5" i="4"/>
  <c r="H5" i="4"/>
  <c r="G5" i="4"/>
  <c r="I4" i="4"/>
  <c r="H4" i="4"/>
  <c r="G4" i="4"/>
  <c r="I3" i="4"/>
  <c r="H3" i="4"/>
  <c r="G3" i="4"/>
  <c r="H2" i="4"/>
  <c r="G2" i="4"/>
  <c r="H6" i="3"/>
  <c r="H7" i="3"/>
  <c r="H5" i="3"/>
  <c r="G5" i="3"/>
  <c r="G6" i="3"/>
  <c r="G7" i="3"/>
  <c r="G4" i="3"/>
  <c r="F5" i="3"/>
  <c r="F6" i="3"/>
  <c r="F7" i="3"/>
  <c r="F4" i="3"/>
  <c r="H5" i="2"/>
  <c r="H6" i="2"/>
  <c r="H4" i="2"/>
  <c r="G4" i="2"/>
  <c r="G5" i="2"/>
  <c r="G6" i="2"/>
  <c r="G3" i="2"/>
  <c r="F4" i="2"/>
  <c r="F5" i="2"/>
  <c r="F6" i="2"/>
  <c r="F3" i="2"/>
  <c r="H6" i="1"/>
  <c r="H7" i="1"/>
  <c r="H5" i="1"/>
  <c r="G5" i="1"/>
  <c r="G6" i="1"/>
  <c r="G7" i="1"/>
  <c r="G4" i="1"/>
  <c r="F6" i="1"/>
  <c r="F7" i="1"/>
  <c r="F4" i="1"/>
  <c r="F5" i="1"/>
</calcChain>
</file>

<file path=xl/sharedStrings.xml><?xml version="1.0" encoding="utf-8"?>
<sst xmlns="http://schemas.openxmlformats.org/spreadsheetml/2006/main" count="237" uniqueCount="25">
  <si>
    <t>Year</t>
  </si>
  <si>
    <t>Profit</t>
  </si>
  <si>
    <t>Revenue</t>
  </si>
  <si>
    <t>Equity</t>
  </si>
  <si>
    <t xml:space="preserve">Loans </t>
  </si>
  <si>
    <t>ICIC Bank</t>
  </si>
  <si>
    <t>ROE</t>
  </si>
  <si>
    <t>Profit Margin</t>
  </si>
  <si>
    <t xml:space="preserve">Lone Growth </t>
  </si>
  <si>
    <t>Company</t>
  </si>
  <si>
    <t>HDFC</t>
  </si>
  <si>
    <t>State of bank</t>
  </si>
  <si>
    <t>Metric</t>
  </si>
  <si>
    <t>Value</t>
  </si>
  <si>
    <t>Loans</t>
  </si>
  <si>
    <t>Margin</t>
  </si>
  <si>
    <t>Growth</t>
  </si>
  <si>
    <t>State Bank of India</t>
  </si>
  <si>
    <t>Sum of Value</t>
  </si>
  <si>
    <t>Row Labels</t>
  </si>
  <si>
    <t>Grand Total</t>
  </si>
  <si>
    <t>(All)</t>
  </si>
  <si>
    <t>Column Labels</t>
  </si>
  <si>
    <t>Performance Dashboard</t>
  </si>
  <si>
    <t xml:space="preserve">HDFC Bank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</si>
</sst>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Gill Sans MT"/>
      <family val="2"/>
      <scheme val="minor"/>
    </font>
    <font>
      <b/>
      <sz val="11"/>
      <color theme="1"/>
      <name val="Gill Sans MT"/>
      <family val="2"/>
      <scheme val="minor"/>
    </font>
    <font>
      <sz val="36"/>
      <color theme="1"/>
      <name val="Algerian"/>
      <family val="5"/>
    </font>
    <font>
      <sz val="14"/>
      <color theme="1"/>
      <name val="Times New Roman"/>
      <family val="1"/>
    </font>
    <font>
      <b/>
      <sz val="14"/>
      <color theme="1"/>
      <name val="Times New Roman"/>
      <family val="1"/>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NumberFormat="1"/>
    <xf numFmtId="0" fontId="0" fillId="0" borderId="0" xfId="0" pivotButton="1"/>
    <xf numFmtId="0" fontId="0" fillId="0" borderId="0" xfId="0" applyAlignment="1">
      <alignment horizontal="left"/>
    </xf>
    <xf numFmtId="0" fontId="3" fillId="0" borderId="0" xfId="0" applyFont="1"/>
    <xf numFmtId="0" fontId="4" fillId="0" borderId="0" xfId="0" applyFont="1" applyAlignment="1">
      <alignment horizontal="center" vertical="center" wrapText="1"/>
    </xf>
    <xf numFmtId="0" fontId="4" fillId="0" borderId="0" xfId="0" applyFont="1"/>
    <xf numFmtId="0" fontId="4" fillId="0" borderId="0" xfId="0" applyFont="1" applyAlignment="1">
      <alignment horizontal="center"/>
    </xf>
    <xf numFmtId="0" fontId="4" fillId="0" borderId="0" xfId="0" applyFont="1" applyAlignment="1">
      <alignment horizontal="center" vertical="center" wrapText="1"/>
    </xf>
    <xf numFmtId="0" fontId="3" fillId="0" borderId="0" xfId="0" applyFont="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3" fontId="0" fillId="0" borderId="1" xfId="0" applyNumberFormat="1" applyBorder="1" applyAlignment="1">
      <alignment vertical="center" wrapText="1"/>
    </xf>
    <xf numFmtId="0" fontId="0" fillId="0" borderId="1" xfId="0" applyBorder="1"/>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6">
    <dxf>
      <font>
        <b/>
        <i val="0"/>
        <strike val="0"/>
        <condense val="0"/>
        <extend val="0"/>
        <outline val="0"/>
        <shadow val="0"/>
        <u val="none"/>
        <vertAlign val="baseline"/>
        <sz val="11"/>
        <color theme="1"/>
        <name val="Gill Sans MT"/>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3" formatCode="#,##0"/>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vs ICIC vs State Bank of India.xlsx]profit!PivotTable3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Chart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profit!$B$3:$B$4</c:f>
              <c:strCache>
                <c:ptCount val="1"/>
                <c:pt idx="0">
                  <c:v>HDFC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profit!$A$5:$A$9</c:f>
              <c:strCache>
                <c:ptCount val="4"/>
                <c:pt idx="0">
                  <c:v>2021</c:v>
                </c:pt>
                <c:pt idx="1">
                  <c:v>2022</c:v>
                </c:pt>
                <c:pt idx="2">
                  <c:v>2023</c:v>
                </c:pt>
                <c:pt idx="3">
                  <c:v>2024</c:v>
                </c:pt>
              </c:strCache>
            </c:strRef>
          </c:cat>
          <c:val>
            <c:numRef>
              <c:f>profit!$B$5:$B$9</c:f>
              <c:numCache>
                <c:formatCode>General</c:formatCode>
                <c:ptCount val="4"/>
                <c:pt idx="0">
                  <c:v>1293246.397377</c:v>
                </c:pt>
                <c:pt idx="1">
                  <c:v>1542925.6795669999</c:v>
                </c:pt>
                <c:pt idx="2">
                  <c:v>365942.91748900001</c:v>
                </c:pt>
                <c:pt idx="3">
                  <c:v>25333904.119447</c:v>
                </c:pt>
              </c:numCache>
            </c:numRef>
          </c:val>
          <c:extLst>
            <c:ext xmlns:c16="http://schemas.microsoft.com/office/drawing/2014/chart" uri="{C3380CC4-5D6E-409C-BE32-E72D297353CC}">
              <c16:uniqueId val="{00000000-5AE4-4B21-BAF5-1DA04FD5F657}"/>
            </c:ext>
          </c:extLst>
        </c:ser>
        <c:ser>
          <c:idx val="1"/>
          <c:order val="1"/>
          <c:tx>
            <c:strRef>
              <c:f>profit!$C$3:$C$4</c:f>
              <c:strCache>
                <c:ptCount val="1"/>
                <c:pt idx="0">
                  <c:v>ICIC Bank</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profit!$A$5:$A$9</c:f>
              <c:strCache>
                <c:ptCount val="4"/>
                <c:pt idx="0">
                  <c:v>2021</c:v>
                </c:pt>
                <c:pt idx="1">
                  <c:v>2022</c:v>
                </c:pt>
                <c:pt idx="2">
                  <c:v>2023</c:v>
                </c:pt>
                <c:pt idx="3">
                  <c:v>2024</c:v>
                </c:pt>
              </c:strCache>
            </c:strRef>
          </c:cat>
          <c:val>
            <c:numRef>
              <c:f>profit!$C$5:$C$9</c:f>
              <c:numCache>
                <c:formatCode>General</c:formatCode>
                <c:ptCount val="4"/>
                <c:pt idx="0">
                  <c:v>229997.26125099999</c:v>
                </c:pt>
                <c:pt idx="1">
                  <c:v>1005380.939719</c:v>
                </c:pt>
                <c:pt idx="2">
                  <c:v>1192691.1673570001</c:v>
                </c:pt>
                <c:pt idx="3">
                  <c:v>1380308.3467550001</c:v>
                </c:pt>
              </c:numCache>
            </c:numRef>
          </c:val>
          <c:extLst>
            <c:ext xmlns:c16="http://schemas.microsoft.com/office/drawing/2014/chart" uri="{C3380CC4-5D6E-409C-BE32-E72D297353CC}">
              <c16:uniqueId val="{00000001-5AE4-4B21-BAF5-1DA04FD5F657}"/>
            </c:ext>
          </c:extLst>
        </c:ser>
        <c:ser>
          <c:idx val="2"/>
          <c:order val="2"/>
          <c:tx>
            <c:strRef>
              <c:f>profit!$D$3:$D$4</c:f>
              <c:strCache>
                <c:ptCount val="1"/>
                <c:pt idx="0">
                  <c:v>State Bank of India</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profit!$A$5:$A$9</c:f>
              <c:strCache>
                <c:ptCount val="4"/>
                <c:pt idx="0">
                  <c:v>2021</c:v>
                </c:pt>
                <c:pt idx="1">
                  <c:v>2022</c:v>
                </c:pt>
                <c:pt idx="2">
                  <c:v>2023</c:v>
                </c:pt>
                <c:pt idx="3">
                  <c:v>2024</c:v>
                </c:pt>
              </c:strCache>
            </c:strRef>
          </c:cat>
          <c:val>
            <c:numRef>
              <c:f>profit!$D$5:$D$9</c:f>
              <c:numCache>
                <c:formatCode>General</c:formatCode>
                <c:ptCount val="4"/>
                <c:pt idx="0">
                  <c:v>2616410.145972</c:v>
                </c:pt>
                <c:pt idx="1">
                  <c:v>2851684.210132</c:v>
                </c:pt>
                <c:pt idx="2">
                  <c:v>3120239.7052080003</c:v>
                </c:pt>
                <c:pt idx="3">
                  <c:v>3466087.325313</c:v>
                </c:pt>
              </c:numCache>
            </c:numRef>
          </c:val>
          <c:extLst>
            <c:ext xmlns:c16="http://schemas.microsoft.com/office/drawing/2014/chart" uri="{C3380CC4-5D6E-409C-BE32-E72D297353CC}">
              <c16:uniqueId val="{00000002-5AE4-4B21-BAF5-1DA04FD5F657}"/>
            </c:ext>
          </c:extLst>
        </c:ser>
        <c:dLbls>
          <c:dLblPos val="inEnd"/>
          <c:showLegendKey val="0"/>
          <c:showVal val="1"/>
          <c:showCatName val="0"/>
          <c:showSerName val="0"/>
          <c:showPercent val="0"/>
          <c:showBubbleSize val="0"/>
        </c:dLbls>
        <c:gapWidth val="65"/>
        <c:axId val="1630322287"/>
        <c:axId val="1630314127"/>
      </c:barChart>
      <c:catAx>
        <c:axId val="16303222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0314127"/>
        <c:crosses val="autoZero"/>
        <c:auto val="1"/>
        <c:lblAlgn val="ctr"/>
        <c:lblOffset val="100"/>
        <c:noMultiLvlLbl val="0"/>
      </c:catAx>
      <c:valAx>
        <c:axId val="16303141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303222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vs ICIC vs State Bank of India.xlsx]ROE!PivotTable3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ROE Chart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ROE!$B$3:$B$4</c:f>
              <c:strCache>
                <c:ptCount val="1"/>
                <c:pt idx="0">
                  <c:v>HDFC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ROE!$A$5:$A$9</c:f>
              <c:strCache>
                <c:ptCount val="4"/>
                <c:pt idx="0">
                  <c:v>2021</c:v>
                </c:pt>
                <c:pt idx="1">
                  <c:v>2022</c:v>
                </c:pt>
                <c:pt idx="2">
                  <c:v>2023</c:v>
                </c:pt>
                <c:pt idx="3">
                  <c:v>2024</c:v>
                </c:pt>
              </c:strCache>
            </c:strRef>
          </c:cat>
          <c:val>
            <c:numRef>
              <c:f>ROE!$B$5:$B$9</c:f>
              <c:numCache>
                <c:formatCode>General</c:formatCode>
                <c:ptCount val="4"/>
                <c:pt idx="0">
                  <c:v>1293246.397377</c:v>
                </c:pt>
                <c:pt idx="1">
                  <c:v>1542925.6795669999</c:v>
                </c:pt>
                <c:pt idx="2">
                  <c:v>365942.91748900001</c:v>
                </c:pt>
                <c:pt idx="3">
                  <c:v>25333904.119447</c:v>
                </c:pt>
              </c:numCache>
            </c:numRef>
          </c:val>
          <c:smooth val="0"/>
          <c:extLst>
            <c:ext xmlns:c16="http://schemas.microsoft.com/office/drawing/2014/chart" uri="{C3380CC4-5D6E-409C-BE32-E72D297353CC}">
              <c16:uniqueId val="{00000000-7867-40EC-984E-E69A35052BA6}"/>
            </c:ext>
          </c:extLst>
        </c:ser>
        <c:ser>
          <c:idx val="1"/>
          <c:order val="1"/>
          <c:tx>
            <c:strRef>
              <c:f>ROE!$C$3:$C$4</c:f>
              <c:strCache>
                <c:ptCount val="1"/>
                <c:pt idx="0">
                  <c:v>ICIC Bank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ROE!$A$5:$A$9</c:f>
              <c:strCache>
                <c:ptCount val="4"/>
                <c:pt idx="0">
                  <c:v>2021</c:v>
                </c:pt>
                <c:pt idx="1">
                  <c:v>2022</c:v>
                </c:pt>
                <c:pt idx="2">
                  <c:v>2023</c:v>
                </c:pt>
                <c:pt idx="3">
                  <c:v>2024</c:v>
                </c:pt>
              </c:strCache>
            </c:strRef>
          </c:cat>
          <c:val>
            <c:numRef>
              <c:f>ROE!$C$5:$C$9</c:f>
              <c:numCache>
                <c:formatCode>General</c:formatCode>
                <c:ptCount val="4"/>
                <c:pt idx="0">
                  <c:v>229997.26125099999</c:v>
                </c:pt>
                <c:pt idx="1">
                  <c:v>1005380.939719</c:v>
                </c:pt>
                <c:pt idx="2">
                  <c:v>1192691.1673570001</c:v>
                </c:pt>
                <c:pt idx="3">
                  <c:v>1380308.3467550001</c:v>
                </c:pt>
              </c:numCache>
            </c:numRef>
          </c:val>
          <c:smooth val="0"/>
          <c:extLst>
            <c:ext xmlns:c16="http://schemas.microsoft.com/office/drawing/2014/chart" uri="{C3380CC4-5D6E-409C-BE32-E72D297353CC}">
              <c16:uniqueId val="{00000001-7867-40EC-984E-E69A35052BA6}"/>
            </c:ext>
          </c:extLst>
        </c:ser>
        <c:ser>
          <c:idx val="2"/>
          <c:order val="2"/>
          <c:tx>
            <c:strRef>
              <c:f>ROE!$D$3:$D$4</c:f>
              <c:strCache>
                <c:ptCount val="1"/>
                <c:pt idx="0">
                  <c:v>State Bank of India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ROE!$A$5:$A$9</c:f>
              <c:strCache>
                <c:ptCount val="4"/>
                <c:pt idx="0">
                  <c:v>2021</c:v>
                </c:pt>
                <c:pt idx="1">
                  <c:v>2022</c:v>
                </c:pt>
                <c:pt idx="2">
                  <c:v>2023</c:v>
                </c:pt>
                <c:pt idx="3">
                  <c:v>2024</c:v>
                </c:pt>
              </c:strCache>
            </c:strRef>
          </c:cat>
          <c:val>
            <c:numRef>
              <c:f>ROE!$D$5:$D$9</c:f>
              <c:numCache>
                <c:formatCode>General</c:formatCode>
                <c:ptCount val="4"/>
                <c:pt idx="0">
                  <c:v>2616410.145972</c:v>
                </c:pt>
                <c:pt idx="1">
                  <c:v>2851684.210132</c:v>
                </c:pt>
                <c:pt idx="2">
                  <c:v>3120239.7052080003</c:v>
                </c:pt>
                <c:pt idx="3">
                  <c:v>3466087.325313</c:v>
                </c:pt>
              </c:numCache>
            </c:numRef>
          </c:val>
          <c:smooth val="0"/>
          <c:extLst>
            <c:ext xmlns:c16="http://schemas.microsoft.com/office/drawing/2014/chart" uri="{C3380CC4-5D6E-409C-BE32-E72D297353CC}">
              <c16:uniqueId val="{00000002-7867-40EC-984E-E69A35052BA6}"/>
            </c:ext>
          </c:extLst>
        </c:ser>
        <c:dLbls>
          <c:dLblPos val="t"/>
          <c:showLegendKey val="0"/>
          <c:showVal val="0"/>
          <c:showCatName val="0"/>
          <c:showSerName val="0"/>
          <c:showPercent val="0"/>
          <c:showBubbleSize val="0"/>
        </c:dLbls>
        <c:marker val="1"/>
        <c:smooth val="0"/>
        <c:axId val="1228900175"/>
        <c:axId val="1228903535"/>
      </c:lineChart>
      <c:catAx>
        <c:axId val="122890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903535"/>
        <c:crosses val="autoZero"/>
        <c:auto val="1"/>
        <c:lblAlgn val="ctr"/>
        <c:lblOffset val="100"/>
        <c:noMultiLvlLbl val="0"/>
      </c:catAx>
      <c:valAx>
        <c:axId val="122890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90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vs ICIC vs State Bank of India.xlsx]Lone Growth!PivotTable3</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Lone</a:t>
            </a:r>
            <a:r>
              <a:rPr lang="en-US" baseline="0"/>
              <a:t> </a:t>
            </a:r>
            <a:r>
              <a:rPr lang="en-US"/>
              <a:t>Growth Chart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'Lone Growth'!$B$3:$B$4</c:f>
              <c:strCache>
                <c:ptCount val="1"/>
                <c:pt idx="0">
                  <c:v>HDFC</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'Lone Growth'!$A$5:$A$9</c:f>
              <c:strCache>
                <c:ptCount val="4"/>
                <c:pt idx="0">
                  <c:v>2021</c:v>
                </c:pt>
                <c:pt idx="1">
                  <c:v>2022</c:v>
                </c:pt>
                <c:pt idx="2">
                  <c:v>2023</c:v>
                </c:pt>
                <c:pt idx="3">
                  <c:v>2024</c:v>
                </c:pt>
              </c:strCache>
            </c:strRef>
          </c:cat>
          <c:val>
            <c:numRef>
              <c:f>'Lone Growth'!$B$5:$B$9</c:f>
              <c:numCache>
                <c:formatCode>General</c:formatCode>
                <c:ptCount val="4"/>
                <c:pt idx="1">
                  <c:v>17.23995</c:v>
                </c:pt>
                <c:pt idx="2">
                  <c:v>14.48001</c:v>
                </c:pt>
                <c:pt idx="3">
                  <c:v>93.617570000000001</c:v>
                </c:pt>
              </c:numCache>
            </c:numRef>
          </c:val>
          <c:smooth val="0"/>
          <c:extLst>
            <c:ext xmlns:c16="http://schemas.microsoft.com/office/drawing/2014/chart" uri="{C3380CC4-5D6E-409C-BE32-E72D297353CC}">
              <c16:uniqueId val="{00000000-D44A-4588-8492-253742809A51}"/>
            </c:ext>
          </c:extLst>
        </c:ser>
        <c:ser>
          <c:idx val="1"/>
          <c:order val="1"/>
          <c:tx>
            <c:strRef>
              <c:f>'Lone Growth'!$C$3:$C$4</c:f>
              <c:strCache>
                <c:ptCount val="1"/>
                <c:pt idx="0">
                  <c:v>ICIC Bank</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'Lone Growth'!$A$5:$A$9</c:f>
              <c:strCache>
                <c:ptCount val="4"/>
                <c:pt idx="0">
                  <c:v>2021</c:v>
                </c:pt>
                <c:pt idx="1">
                  <c:v>2022</c:v>
                </c:pt>
                <c:pt idx="2">
                  <c:v>2023</c:v>
                </c:pt>
                <c:pt idx="3">
                  <c:v>2024</c:v>
                </c:pt>
              </c:strCache>
            </c:strRef>
          </c:cat>
          <c:val>
            <c:numRef>
              <c:f>'Lone Growth'!$C$5:$C$9</c:f>
              <c:numCache>
                <c:formatCode>General</c:formatCode>
                <c:ptCount val="4"/>
                <c:pt idx="1">
                  <c:v>14.58534</c:v>
                </c:pt>
                <c:pt idx="2">
                  <c:v>15.75245</c:v>
                </c:pt>
                <c:pt idx="3">
                  <c:v>13.91145</c:v>
                </c:pt>
              </c:numCache>
            </c:numRef>
          </c:val>
          <c:smooth val="0"/>
          <c:extLst>
            <c:ext xmlns:c16="http://schemas.microsoft.com/office/drawing/2014/chart" uri="{C3380CC4-5D6E-409C-BE32-E72D297353CC}">
              <c16:uniqueId val="{00000001-D44A-4588-8492-253742809A51}"/>
            </c:ext>
          </c:extLst>
        </c:ser>
        <c:ser>
          <c:idx val="2"/>
          <c:order val="2"/>
          <c:tx>
            <c:strRef>
              <c:f>'Lone Growth'!$D$3:$D$4</c:f>
              <c:strCache>
                <c:ptCount val="1"/>
                <c:pt idx="0">
                  <c:v>State Bank of India</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'Lone Growth'!$A$5:$A$9</c:f>
              <c:strCache>
                <c:ptCount val="4"/>
                <c:pt idx="0">
                  <c:v>2021</c:v>
                </c:pt>
                <c:pt idx="1">
                  <c:v>2022</c:v>
                </c:pt>
                <c:pt idx="2">
                  <c:v>2023</c:v>
                </c:pt>
                <c:pt idx="3">
                  <c:v>2024</c:v>
                </c:pt>
              </c:strCache>
            </c:strRef>
          </c:cat>
          <c:val>
            <c:numRef>
              <c:f>'Lone Growth'!$D$5:$D$9</c:f>
              <c:numCache>
                <c:formatCode>General</c:formatCode>
                <c:ptCount val="4"/>
                <c:pt idx="1">
                  <c:v>8</c:v>
                </c:pt>
                <c:pt idx="2">
                  <c:v>7.4074070000000001</c:v>
                </c:pt>
                <c:pt idx="3">
                  <c:v>10</c:v>
                </c:pt>
              </c:numCache>
            </c:numRef>
          </c:val>
          <c:smooth val="0"/>
          <c:extLst>
            <c:ext xmlns:c16="http://schemas.microsoft.com/office/drawing/2014/chart" uri="{C3380CC4-5D6E-409C-BE32-E72D297353CC}">
              <c16:uniqueId val="{00000002-D44A-4588-8492-253742809A51}"/>
            </c:ext>
          </c:extLst>
        </c:ser>
        <c:dLbls>
          <c:dLblPos val="t"/>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28304607"/>
        <c:axId val="228301247"/>
      </c:lineChart>
      <c:catAx>
        <c:axId val="2283046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8301247"/>
        <c:crosses val="autoZero"/>
        <c:auto val="1"/>
        <c:lblAlgn val="ctr"/>
        <c:lblOffset val="100"/>
        <c:noMultiLvlLbl val="0"/>
      </c:catAx>
      <c:valAx>
        <c:axId val="22830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830460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vs ICIC vs State Bank of India.xlsx]Loan!PivotTable3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 Chart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3">
                    <a:tint val="98000"/>
                    <a:lumMod val="110000"/>
                  </a:schemeClr>
                </a:gs>
                <a:gs pos="84000">
                  <a:schemeClr val="accent3">
                    <a:shade val="90000"/>
                    <a:lumMod val="88000"/>
                  </a:schemeClr>
                </a:gs>
              </a:gsLst>
              <a:lin ang="5400000" scaled="0"/>
            </a:gradFill>
            <a:ln w="9525">
              <a:solidFill>
                <a:schemeClr val="accent3"/>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Loan!$B$3:$B$4</c:f>
              <c:strCache>
                <c:ptCount val="1"/>
                <c:pt idx="0">
                  <c:v>HDFC</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Loan!$A$5:$A$9</c:f>
              <c:strCache>
                <c:ptCount val="4"/>
                <c:pt idx="0">
                  <c:v>2021</c:v>
                </c:pt>
                <c:pt idx="1">
                  <c:v>2022</c:v>
                </c:pt>
                <c:pt idx="2">
                  <c:v>2023</c:v>
                </c:pt>
                <c:pt idx="3">
                  <c:v>2024</c:v>
                </c:pt>
              </c:strCache>
            </c:strRef>
          </c:cat>
          <c:val>
            <c:numRef>
              <c:f>Loan!$B$5:$B$9</c:f>
              <c:numCache>
                <c:formatCode>General</c:formatCode>
                <c:ptCount val="4"/>
                <c:pt idx="0">
                  <c:v>1293246.397377</c:v>
                </c:pt>
                <c:pt idx="1">
                  <c:v>1542925.6795669999</c:v>
                </c:pt>
                <c:pt idx="2">
                  <c:v>365942.91748900001</c:v>
                </c:pt>
                <c:pt idx="3">
                  <c:v>25333904.119447</c:v>
                </c:pt>
              </c:numCache>
            </c:numRef>
          </c:val>
          <c:smooth val="0"/>
          <c:extLst>
            <c:ext xmlns:c16="http://schemas.microsoft.com/office/drawing/2014/chart" uri="{C3380CC4-5D6E-409C-BE32-E72D297353CC}">
              <c16:uniqueId val="{00000000-410E-45BD-8BD5-2C28A8FBD5B5}"/>
            </c:ext>
          </c:extLst>
        </c:ser>
        <c:ser>
          <c:idx val="1"/>
          <c:order val="1"/>
          <c:tx>
            <c:strRef>
              <c:f>Loan!$C$3:$C$4</c:f>
              <c:strCache>
                <c:ptCount val="1"/>
                <c:pt idx="0">
                  <c:v>ICIC Bank</c:v>
                </c:pt>
              </c:strCache>
            </c:strRef>
          </c:tx>
          <c:spPr>
            <a:ln w="34925" cap="rnd">
              <a:solidFill>
                <a:schemeClr val="accent2"/>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Loan!$A$5:$A$9</c:f>
              <c:strCache>
                <c:ptCount val="4"/>
                <c:pt idx="0">
                  <c:v>2021</c:v>
                </c:pt>
                <c:pt idx="1">
                  <c:v>2022</c:v>
                </c:pt>
                <c:pt idx="2">
                  <c:v>2023</c:v>
                </c:pt>
                <c:pt idx="3">
                  <c:v>2024</c:v>
                </c:pt>
              </c:strCache>
            </c:strRef>
          </c:cat>
          <c:val>
            <c:numRef>
              <c:f>Loan!$C$5:$C$9</c:f>
              <c:numCache>
                <c:formatCode>General</c:formatCode>
                <c:ptCount val="4"/>
                <c:pt idx="0">
                  <c:v>229997.26125099999</c:v>
                </c:pt>
                <c:pt idx="1">
                  <c:v>1005380.939719</c:v>
                </c:pt>
                <c:pt idx="2">
                  <c:v>1192691.1673570001</c:v>
                </c:pt>
                <c:pt idx="3">
                  <c:v>1380308.3467550001</c:v>
                </c:pt>
              </c:numCache>
            </c:numRef>
          </c:val>
          <c:smooth val="0"/>
          <c:extLst>
            <c:ext xmlns:c16="http://schemas.microsoft.com/office/drawing/2014/chart" uri="{C3380CC4-5D6E-409C-BE32-E72D297353CC}">
              <c16:uniqueId val="{00000001-410E-45BD-8BD5-2C28A8FBD5B5}"/>
            </c:ext>
          </c:extLst>
        </c:ser>
        <c:ser>
          <c:idx val="2"/>
          <c:order val="2"/>
          <c:tx>
            <c:strRef>
              <c:f>Loan!$D$3:$D$4</c:f>
              <c:strCache>
                <c:ptCount val="1"/>
                <c:pt idx="0">
                  <c:v>State Bank of India</c:v>
                </c:pt>
              </c:strCache>
            </c:strRef>
          </c:tx>
          <c:spPr>
            <a:ln w="34925" cap="rnd">
              <a:solidFill>
                <a:schemeClr val="accent3"/>
              </a:solidFill>
              <a:round/>
            </a:ln>
            <a:effectLst>
              <a:outerShdw blurRad="88900" dist="38100" dir="5040000" rotWithShape="0">
                <a:srgbClr val="000000">
                  <a:alpha val="60000"/>
                </a:srgbClr>
              </a:outerShdw>
            </a:effectLst>
          </c:spPr>
          <c:marker>
            <c:symbol val="circle"/>
            <c:size val="6"/>
            <c:spPr>
              <a:gradFill rotWithShape="1">
                <a:gsLst>
                  <a:gs pos="0">
                    <a:schemeClr val="accent3">
                      <a:tint val="98000"/>
                      <a:lumMod val="110000"/>
                    </a:schemeClr>
                  </a:gs>
                  <a:gs pos="84000">
                    <a:schemeClr val="accent3">
                      <a:shade val="90000"/>
                      <a:lumMod val="88000"/>
                    </a:schemeClr>
                  </a:gs>
                </a:gsLst>
                <a:lin ang="5400000" scaled="0"/>
              </a:gradFill>
              <a:ln w="9525">
                <a:solidFill>
                  <a:schemeClr val="accent3"/>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Loan!$A$5:$A$9</c:f>
              <c:strCache>
                <c:ptCount val="4"/>
                <c:pt idx="0">
                  <c:v>2021</c:v>
                </c:pt>
                <c:pt idx="1">
                  <c:v>2022</c:v>
                </c:pt>
                <c:pt idx="2">
                  <c:v>2023</c:v>
                </c:pt>
                <c:pt idx="3">
                  <c:v>2024</c:v>
                </c:pt>
              </c:strCache>
            </c:strRef>
          </c:cat>
          <c:val>
            <c:numRef>
              <c:f>Loan!$D$5:$D$9</c:f>
              <c:numCache>
                <c:formatCode>General</c:formatCode>
                <c:ptCount val="4"/>
                <c:pt idx="0">
                  <c:v>2616410.145972</c:v>
                </c:pt>
                <c:pt idx="1">
                  <c:v>2851684.210132</c:v>
                </c:pt>
                <c:pt idx="2">
                  <c:v>3120239.7052080003</c:v>
                </c:pt>
                <c:pt idx="3">
                  <c:v>3466087.325313</c:v>
                </c:pt>
              </c:numCache>
            </c:numRef>
          </c:val>
          <c:smooth val="0"/>
          <c:extLst>
            <c:ext xmlns:c16="http://schemas.microsoft.com/office/drawing/2014/chart" uri="{C3380CC4-5D6E-409C-BE32-E72D297353CC}">
              <c16:uniqueId val="{00000002-410E-45BD-8BD5-2C28A8FBD5B5}"/>
            </c:ext>
          </c:extLst>
        </c:ser>
        <c:dLbls>
          <c:dLblPos val="ctr"/>
          <c:showLegendKey val="0"/>
          <c:showVal val="0"/>
          <c:showCatName val="0"/>
          <c:showSerName val="0"/>
          <c:showPercent val="0"/>
          <c:showBubbleSize val="0"/>
        </c:dLbls>
        <c:marker val="1"/>
        <c:smooth val="0"/>
        <c:axId val="1630316047"/>
        <c:axId val="1630324207"/>
      </c:lineChart>
      <c:catAx>
        <c:axId val="16303160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0324207"/>
        <c:crosses val="autoZero"/>
        <c:auto val="1"/>
        <c:lblAlgn val="ctr"/>
        <c:lblOffset val="100"/>
        <c:noMultiLvlLbl val="0"/>
      </c:catAx>
      <c:valAx>
        <c:axId val="1630324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031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vs ICIC vs State Bank of India.xlsx]Loan!PivotTable3</c:name>
    <c:fmtId val="1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Lone</a:t>
            </a:r>
            <a:r>
              <a:rPr lang="en-US" baseline="0"/>
              <a:t> </a:t>
            </a:r>
            <a:r>
              <a:rPr lang="en-US"/>
              <a:t>Growth Chart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8000"/>
                  <a:alpha val="90000"/>
                  <a:lumMod val="100000"/>
                </a:schemeClr>
              </a:gs>
              <a:gs pos="100000">
                <a:schemeClr val="accent1">
                  <a:tint val="90000"/>
                  <a:lumMod val="95000"/>
                </a:schemeClr>
              </a:gs>
            </a:gsLst>
            <a:lin ang="54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8000"/>
                  <a:alpha val="90000"/>
                  <a:lumMod val="100000"/>
                </a:schemeClr>
              </a:gs>
              <a:gs pos="100000">
                <a:schemeClr val="accent1">
                  <a:tint val="90000"/>
                  <a:lumMod val="95000"/>
                </a:schemeClr>
              </a:gs>
            </a:gsLst>
            <a:lin ang="5400000" scaled="1"/>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68000"/>
                  <a:alpha val="90000"/>
                  <a:lumMod val="100000"/>
                </a:schemeClr>
              </a:gs>
              <a:gs pos="100000">
                <a:schemeClr val="accent1">
                  <a:tint val="90000"/>
                  <a:lumMod val="95000"/>
                </a:schemeClr>
              </a:gs>
            </a:gsLst>
            <a:lin ang="5400000" scaled="1"/>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Loan!$B$3:$B$4</c:f>
              <c:strCache>
                <c:ptCount val="1"/>
                <c:pt idx="0">
                  <c:v>HDFC</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Loan!$A$5:$A$9</c:f>
              <c:strCache>
                <c:ptCount val="4"/>
                <c:pt idx="0">
                  <c:v>2021</c:v>
                </c:pt>
                <c:pt idx="1">
                  <c:v>2022</c:v>
                </c:pt>
                <c:pt idx="2">
                  <c:v>2023</c:v>
                </c:pt>
                <c:pt idx="3">
                  <c:v>2024</c:v>
                </c:pt>
              </c:strCache>
            </c:strRef>
          </c:cat>
          <c:val>
            <c:numRef>
              <c:f>Loan!$B$5:$B$9</c:f>
              <c:numCache>
                <c:formatCode>General</c:formatCode>
                <c:ptCount val="4"/>
                <c:pt idx="0">
                  <c:v>1293246.397377</c:v>
                </c:pt>
                <c:pt idx="1">
                  <c:v>1542925.6795669999</c:v>
                </c:pt>
                <c:pt idx="2">
                  <c:v>365942.91748900001</c:v>
                </c:pt>
                <c:pt idx="3">
                  <c:v>25333904.119447</c:v>
                </c:pt>
              </c:numCache>
            </c:numRef>
          </c:val>
          <c:smooth val="0"/>
          <c:extLst>
            <c:ext xmlns:c16="http://schemas.microsoft.com/office/drawing/2014/chart" uri="{C3380CC4-5D6E-409C-BE32-E72D297353CC}">
              <c16:uniqueId val="{00000000-26BC-4BA1-A8A2-FBE8B80FCE49}"/>
            </c:ext>
          </c:extLst>
        </c:ser>
        <c:ser>
          <c:idx val="1"/>
          <c:order val="1"/>
          <c:tx>
            <c:strRef>
              <c:f>Loan!$C$3:$C$4</c:f>
              <c:strCache>
                <c:ptCount val="1"/>
                <c:pt idx="0">
                  <c:v>ICIC Bank</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Loan!$A$5:$A$9</c:f>
              <c:strCache>
                <c:ptCount val="4"/>
                <c:pt idx="0">
                  <c:v>2021</c:v>
                </c:pt>
                <c:pt idx="1">
                  <c:v>2022</c:v>
                </c:pt>
                <c:pt idx="2">
                  <c:v>2023</c:v>
                </c:pt>
                <c:pt idx="3">
                  <c:v>2024</c:v>
                </c:pt>
              </c:strCache>
            </c:strRef>
          </c:cat>
          <c:val>
            <c:numRef>
              <c:f>Loan!$C$5:$C$9</c:f>
              <c:numCache>
                <c:formatCode>General</c:formatCode>
                <c:ptCount val="4"/>
                <c:pt idx="0">
                  <c:v>229997.26125099999</c:v>
                </c:pt>
                <c:pt idx="1">
                  <c:v>1005380.939719</c:v>
                </c:pt>
                <c:pt idx="2">
                  <c:v>1192691.1673570001</c:v>
                </c:pt>
                <c:pt idx="3">
                  <c:v>1380308.3467550001</c:v>
                </c:pt>
              </c:numCache>
            </c:numRef>
          </c:val>
          <c:smooth val="0"/>
          <c:extLst>
            <c:ext xmlns:c16="http://schemas.microsoft.com/office/drawing/2014/chart" uri="{C3380CC4-5D6E-409C-BE32-E72D297353CC}">
              <c16:uniqueId val="{00000001-26BC-4BA1-A8A2-FBE8B80FCE49}"/>
            </c:ext>
          </c:extLst>
        </c:ser>
        <c:ser>
          <c:idx val="2"/>
          <c:order val="2"/>
          <c:tx>
            <c:strRef>
              <c:f>Loan!$D$3:$D$4</c:f>
              <c:strCache>
                <c:ptCount val="1"/>
                <c:pt idx="0">
                  <c:v>State Bank of India</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Loan!$A$5:$A$9</c:f>
              <c:strCache>
                <c:ptCount val="4"/>
                <c:pt idx="0">
                  <c:v>2021</c:v>
                </c:pt>
                <c:pt idx="1">
                  <c:v>2022</c:v>
                </c:pt>
                <c:pt idx="2">
                  <c:v>2023</c:v>
                </c:pt>
                <c:pt idx="3">
                  <c:v>2024</c:v>
                </c:pt>
              </c:strCache>
            </c:strRef>
          </c:cat>
          <c:val>
            <c:numRef>
              <c:f>Loan!$D$5:$D$9</c:f>
              <c:numCache>
                <c:formatCode>General</c:formatCode>
                <c:ptCount val="4"/>
                <c:pt idx="0">
                  <c:v>2616410.145972</c:v>
                </c:pt>
                <c:pt idx="1">
                  <c:v>2851684.210132</c:v>
                </c:pt>
                <c:pt idx="2">
                  <c:v>3120239.7052080003</c:v>
                </c:pt>
                <c:pt idx="3">
                  <c:v>3466087.325313</c:v>
                </c:pt>
              </c:numCache>
            </c:numRef>
          </c:val>
          <c:smooth val="0"/>
          <c:extLst>
            <c:ext xmlns:c16="http://schemas.microsoft.com/office/drawing/2014/chart" uri="{C3380CC4-5D6E-409C-BE32-E72D297353CC}">
              <c16:uniqueId val="{00000002-26BC-4BA1-A8A2-FBE8B80FCE4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28304607"/>
        <c:axId val="228301247"/>
      </c:lineChart>
      <c:catAx>
        <c:axId val="2283046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8301247"/>
        <c:crosses val="autoZero"/>
        <c:auto val="1"/>
        <c:lblAlgn val="ctr"/>
        <c:lblOffset val="100"/>
        <c:noMultiLvlLbl val="0"/>
      </c:catAx>
      <c:valAx>
        <c:axId val="22830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830460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vs ICIC vs State Bank of India.xlsx]ROE!PivotTable3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ROE Chart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ROE!$B$3:$B$4</c:f>
              <c:strCache>
                <c:ptCount val="1"/>
                <c:pt idx="0">
                  <c:v>HDFC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ROE!$A$5:$A$9</c:f>
              <c:strCache>
                <c:ptCount val="4"/>
                <c:pt idx="0">
                  <c:v>2021</c:v>
                </c:pt>
                <c:pt idx="1">
                  <c:v>2022</c:v>
                </c:pt>
                <c:pt idx="2">
                  <c:v>2023</c:v>
                </c:pt>
                <c:pt idx="3">
                  <c:v>2024</c:v>
                </c:pt>
              </c:strCache>
            </c:strRef>
          </c:cat>
          <c:val>
            <c:numRef>
              <c:f>ROE!$B$5:$B$9</c:f>
              <c:numCache>
                <c:formatCode>General</c:formatCode>
                <c:ptCount val="4"/>
                <c:pt idx="0">
                  <c:v>1293246.397377</c:v>
                </c:pt>
                <c:pt idx="1">
                  <c:v>1542925.6795669999</c:v>
                </c:pt>
                <c:pt idx="2">
                  <c:v>365942.91748900001</c:v>
                </c:pt>
                <c:pt idx="3">
                  <c:v>25333904.119447</c:v>
                </c:pt>
              </c:numCache>
            </c:numRef>
          </c:val>
          <c:smooth val="0"/>
          <c:extLst>
            <c:ext xmlns:c16="http://schemas.microsoft.com/office/drawing/2014/chart" uri="{C3380CC4-5D6E-409C-BE32-E72D297353CC}">
              <c16:uniqueId val="{00000000-790F-41AF-A0FD-6A14F670434C}"/>
            </c:ext>
          </c:extLst>
        </c:ser>
        <c:ser>
          <c:idx val="1"/>
          <c:order val="1"/>
          <c:tx>
            <c:strRef>
              <c:f>ROE!$C$3:$C$4</c:f>
              <c:strCache>
                <c:ptCount val="1"/>
                <c:pt idx="0">
                  <c:v>ICIC Bank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ROE!$A$5:$A$9</c:f>
              <c:strCache>
                <c:ptCount val="4"/>
                <c:pt idx="0">
                  <c:v>2021</c:v>
                </c:pt>
                <c:pt idx="1">
                  <c:v>2022</c:v>
                </c:pt>
                <c:pt idx="2">
                  <c:v>2023</c:v>
                </c:pt>
                <c:pt idx="3">
                  <c:v>2024</c:v>
                </c:pt>
              </c:strCache>
            </c:strRef>
          </c:cat>
          <c:val>
            <c:numRef>
              <c:f>ROE!$C$5:$C$9</c:f>
              <c:numCache>
                <c:formatCode>General</c:formatCode>
                <c:ptCount val="4"/>
                <c:pt idx="0">
                  <c:v>229997.26125099999</c:v>
                </c:pt>
                <c:pt idx="1">
                  <c:v>1005380.939719</c:v>
                </c:pt>
                <c:pt idx="2">
                  <c:v>1192691.1673570001</c:v>
                </c:pt>
                <c:pt idx="3">
                  <c:v>1380308.3467550001</c:v>
                </c:pt>
              </c:numCache>
            </c:numRef>
          </c:val>
          <c:smooth val="0"/>
          <c:extLst>
            <c:ext xmlns:c16="http://schemas.microsoft.com/office/drawing/2014/chart" uri="{C3380CC4-5D6E-409C-BE32-E72D297353CC}">
              <c16:uniqueId val="{00000001-790F-41AF-A0FD-6A14F670434C}"/>
            </c:ext>
          </c:extLst>
        </c:ser>
        <c:ser>
          <c:idx val="2"/>
          <c:order val="2"/>
          <c:tx>
            <c:strRef>
              <c:f>ROE!$D$3:$D$4</c:f>
              <c:strCache>
                <c:ptCount val="1"/>
                <c:pt idx="0">
                  <c:v>State Bank of India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ROE!$A$5:$A$9</c:f>
              <c:strCache>
                <c:ptCount val="4"/>
                <c:pt idx="0">
                  <c:v>2021</c:v>
                </c:pt>
                <c:pt idx="1">
                  <c:v>2022</c:v>
                </c:pt>
                <c:pt idx="2">
                  <c:v>2023</c:v>
                </c:pt>
                <c:pt idx="3">
                  <c:v>2024</c:v>
                </c:pt>
              </c:strCache>
            </c:strRef>
          </c:cat>
          <c:val>
            <c:numRef>
              <c:f>ROE!$D$5:$D$9</c:f>
              <c:numCache>
                <c:formatCode>General</c:formatCode>
                <c:ptCount val="4"/>
                <c:pt idx="0">
                  <c:v>2616410.145972</c:v>
                </c:pt>
                <c:pt idx="1">
                  <c:v>2851684.210132</c:v>
                </c:pt>
                <c:pt idx="2">
                  <c:v>3120239.7052080003</c:v>
                </c:pt>
                <c:pt idx="3">
                  <c:v>3466087.325313</c:v>
                </c:pt>
              </c:numCache>
            </c:numRef>
          </c:val>
          <c:smooth val="0"/>
          <c:extLst>
            <c:ext xmlns:c16="http://schemas.microsoft.com/office/drawing/2014/chart" uri="{C3380CC4-5D6E-409C-BE32-E72D297353CC}">
              <c16:uniqueId val="{00000002-790F-41AF-A0FD-6A14F670434C}"/>
            </c:ext>
          </c:extLst>
        </c:ser>
        <c:dLbls>
          <c:showLegendKey val="0"/>
          <c:showVal val="0"/>
          <c:showCatName val="0"/>
          <c:showSerName val="0"/>
          <c:showPercent val="0"/>
          <c:showBubbleSize val="0"/>
        </c:dLbls>
        <c:marker val="1"/>
        <c:smooth val="0"/>
        <c:axId val="1228900175"/>
        <c:axId val="1228903535"/>
      </c:lineChart>
      <c:catAx>
        <c:axId val="122890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903535"/>
        <c:crosses val="autoZero"/>
        <c:auto val="1"/>
        <c:lblAlgn val="ctr"/>
        <c:lblOffset val="100"/>
        <c:noMultiLvlLbl val="0"/>
      </c:catAx>
      <c:valAx>
        <c:axId val="122890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90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vs ICIC vs State Bank of India.xlsx]Lone Growth!PivotTable3</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Growth Chart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68000"/>
                  <a:alpha val="90000"/>
                  <a:lumMod val="100000"/>
                </a:schemeClr>
              </a:gs>
              <a:gs pos="100000">
                <a:schemeClr val="accent1">
                  <a:tint val="90000"/>
                  <a:lumMod val="95000"/>
                </a:schemeClr>
              </a:gs>
            </a:gsLst>
            <a:lin ang="54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68000"/>
                  <a:alpha val="90000"/>
                  <a:lumMod val="100000"/>
                </a:schemeClr>
              </a:gs>
              <a:gs pos="100000">
                <a:schemeClr val="accent1">
                  <a:tint val="90000"/>
                  <a:lumMod val="95000"/>
                </a:schemeClr>
              </a:gs>
            </a:gsLst>
            <a:lin ang="5400000" scaled="1"/>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8000"/>
                  <a:alpha val="90000"/>
                  <a:lumMod val="100000"/>
                </a:schemeClr>
              </a:gs>
              <a:gs pos="100000">
                <a:schemeClr val="accent1">
                  <a:tint val="90000"/>
                  <a:lumMod val="95000"/>
                </a:schemeClr>
              </a:gs>
            </a:gsLst>
            <a:lin ang="5400000" scaled="1"/>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'Lone Growth'!$B$3:$B$4</c:f>
              <c:strCache>
                <c:ptCount val="1"/>
                <c:pt idx="0">
                  <c:v>HDFC</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'Lone Growth'!$A$5:$A$9</c:f>
              <c:strCache>
                <c:ptCount val="4"/>
                <c:pt idx="0">
                  <c:v>2021</c:v>
                </c:pt>
                <c:pt idx="1">
                  <c:v>2022</c:v>
                </c:pt>
                <c:pt idx="2">
                  <c:v>2023</c:v>
                </c:pt>
                <c:pt idx="3">
                  <c:v>2024</c:v>
                </c:pt>
              </c:strCache>
            </c:strRef>
          </c:cat>
          <c:val>
            <c:numRef>
              <c:f>'Lone Growth'!$B$5:$B$9</c:f>
              <c:numCache>
                <c:formatCode>General</c:formatCode>
                <c:ptCount val="4"/>
                <c:pt idx="1">
                  <c:v>17.23995</c:v>
                </c:pt>
                <c:pt idx="2">
                  <c:v>14.48001</c:v>
                </c:pt>
                <c:pt idx="3">
                  <c:v>93.617570000000001</c:v>
                </c:pt>
              </c:numCache>
            </c:numRef>
          </c:val>
          <c:smooth val="0"/>
          <c:extLst>
            <c:ext xmlns:c16="http://schemas.microsoft.com/office/drawing/2014/chart" uri="{C3380CC4-5D6E-409C-BE32-E72D297353CC}">
              <c16:uniqueId val="{00000000-6106-4FA0-8BE5-87C677DD19EF}"/>
            </c:ext>
          </c:extLst>
        </c:ser>
        <c:ser>
          <c:idx val="1"/>
          <c:order val="1"/>
          <c:tx>
            <c:strRef>
              <c:f>'Lone Growth'!$C$3:$C$4</c:f>
              <c:strCache>
                <c:ptCount val="1"/>
                <c:pt idx="0">
                  <c:v>ICIC Bank</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'Lone Growth'!$A$5:$A$9</c:f>
              <c:strCache>
                <c:ptCount val="4"/>
                <c:pt idx="0">
                  <c:v>2021</c:v>
                </c:pt>
                <c:pt idx="1">
                  <c:v>2022</c:v>
                </c:pt>
                <c:pt idx="2">
                  <c:v>2023</c:v>
                </c:pt>
                <c:pt idx="3">
                  <c:v>2024</c:v>
                </c:pt>
              </c:strCache>
            </c:strRef>
          </c:cat>
          <c:val>
            <c:numRef>
              <c:f>'Lone Growth'!$C$5:$C$9</c:f>
              <c:numCache>
                <c:formatCode>General</c:formatCode>
                <c:ptCount val="4"/>
                <c:pt idx="1">
                  <c:v>14.58534</c:v>
                </c:pt>
                <c:pt idx="2">
                  <c:v>15.75245</c:v>
                </c:pt>
                <c:pt idx="3">
                  <c:v>13.91145</c:v>
                </c:pt>
              </c:numCache>
            </c:numRef>
          </c:val>
          <c:smooth val="0"/>
          <c:extLst>
            <c:ext xmlns:c16="http://schemas.microsoft.com/office/drawing/2014/chart" uri="{C3380CC4-5D6E-409C-BE32-E72D297353CC}">
              <c16:uniqueId val="{00000001-6106-4FA0-8BE5-87C677DD19EF}"/>
            </c:ext>
          </c:extLst>
        </c:ser>
        <c:ser>
          <c:idx val="2"/>
          <c:order val="2"/>
          <c:tx>
            <c:strRef>
              <c:f>'Lone Growth'!$D$3:$D$4</c:f>
              <c:strCache>
                <c:ptCount val="1"/>
                <c:pt idx="0">
                  <c:v>State Bank of India</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'Lone Growth'!$A$5:$A$9</c:f>
              <c:strCache>
                <c:ptCount val="4"/>
                <c:pt idx="0">
                  <c:v>2021</c:v>
                </c:pt>
                <c:pt idx="1">
                  <c:v>2022</c:v>
                </c:pt>
                <c:pt idx="2">
                  <c:v>2023</c:v>
                </c:pt>
                <c:pt idx="3">
                  <c:v>2024</c:v>
                </c:pt>
              </c:strCache>
            </c:strRef>
          </c:cat>
          <c:val>
            <c:numRef>
              <c:f>'Lone Growth'!$D$5:$D$9</c:f>
              <c:numCache>
                <c:formatCode>General</c:formatCode>
                <c:ptCount val="4"/>
                <c:pt idx="1">
                  <c:v>8</c:v>
                </c:pt>
                <c:pt idx="2">
                  <c:v>7.4074070000000001</c:v>
                </c:pt>
                <c:pt idx="3">
                  <c:v>10</c:v>
                </c:pt>
              </c:numCache>
            </c:numRef>
          </c:val>
          <c:smooth val="0"/>
          <c:extLst>
            <c:ext xmlns:c16="http://schemas.microsoft.com/office/drawing/2014/chart" uri="{C3380CC4-5D6E-409C-BE32-E72D297353CC}">
              <c16:uniqueId val="{00000002-6106-4FA0-8BE5-87C677DD19E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28304607"/>
        <c:axId val="228301247"/>
      </c:lineChart>
      <c:catAx>
        <c:axId val="2283046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8301247"/>
        <c:crosses val="autoZero"/>
        <c:auto val="1"/>
        <c:lblAlgn val="ctr"/>
        <c:lblOffset val="100"/>
        <c:noMultiLvlLbl val="0"/>
      </c:catAx>
      <c:valAx>
        <c:axId val="22830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830460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[HDFC vs ICIC vs State Bank of India.xlsx]Loan!PivotTable3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 Chart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pivotFmt>
      <c:pivotFmt>
        <c:idx val="3"/>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3">
                    <a:tint val="98000"/>
                    <a:lumMod val="110000"/>
                  </a:schemeClr>
                </a:gs>
                <a:gs pos="84000">
                  <a:schemeClr val="accent3">
                    <a:shade val="90000"/>
                    <a:lumMod val="88000"/>
                  </a:schemeClr>
                </a:gs>
              </a:gsLst>
              <a:lin ang="5400000" scaled="0"/>
            </a:gradFill>
            <a:ln w="9525">
              <a:solidFill>
                <a:schemeClr val="accent3"/>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Loan!$B$3:$B$4</c:f>
              <c:strCache>
                <c:ptCount val="1"/>
                <c:pt idx="0">
                  <c:v>HDFC</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Loan!$A$5:$A$9</c:f>
              <c:strCache>
                <c:ptCount val="4"/>
                <c:pt idx="0">
                  <c:v>2021</c:v>
                </c:pt>
                <c:pt idx="1">
                  <c:v>2022</c:v>
                </c:pt>
                <c:pt idx="2">
                  <c:v>2023</c:v>
                </c:pt>
                <c:pt idx="3">
                  <c:v>2024</c:v>
                </c:pt>
              </c:strCache>
            </c:strRef>
          </c:cat>
          <c:val>
            <c:numRef>
              <c:f>Loan!$B$5:$B$9</c:f>
              <c:numCache>
                <c:formatCode>General</c:formatCode>
                <c:ptCount val="4"/>
                <c:pt idx="0">
                  <c:v>1293246.397377</c:v>
                </c:pt>
                <c:pt idx="1">
                  <c:v>1542925.6795669999</c:v>
                </c:pt>
                <c:pt idx="2">
                  <c:v>365942.91748900001</c:v>
                </c:pt>
                <c:pt idx="3">
                  <c:v>25333904.119447</c:v>
                </c:pt>
              </c:numCache>
            </c:numRef>
          </c:val>
          <c:smooth val="0"/>
          <c:extLst>
            <c:ext xmlns:c16="http://schemas.microsoft.com/office/drawing/2014/chart" uri="{C3380CC4-5D6E-409C-BE32-E72D297353CC}">
              <c16:uniqueId val="{00000000-A641-41CC-A2FC-794B358BC6B5}"/>
            </c:ext>
          </c:extLst>
        </c:ser>
        <c:ser>
          <c:idx val="1"/>
          <c:order val="1"/>
          <c:tx>
            <c:strRef>
              <c:f>Loan!$C$3:$C$4</c:f>
              <c:strCache>
                <c:ptCount val="1"/>
                <c:pt idx="0">
                  <c:v>ICIC Bank</c:v>
                </c:pt>
              </c:strCache>
            </c:strRef>
          </c:tx>
          <c:spPr>
            <a:ln w="34925" cap="rnd">
              <a:solidFill>
                <a:schemeClr val="accent2"/>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Loan!$A$5:$A$9</c:f>
              <c:strCache>
                <c:ptCount val="4"/>
                <c:pt idx="0">
                  <c:v>2021</c:v>
                </c:pt>
                <c:pt idx="1">
                  <c:v>2022</c:v>
                </c:pt>
                <c:pt idx="2">
                  <c:v>2023</c:v>
                </c:pt>
                <c:pt idx="3">
                  <c:v>2024</c:v>
                </c:pt>
              </c:strCache>
            </c:strRef>
          </c:cat>
          <c:val>
            <c:numRef>
              <c:f>Loan!$C$5:$C$9</c:f>
              <c:numCache>
                <c:formatCode>General</c:formatCode>
                <c:ptCount val="4"/>
                <c:pt idx="0">
                  <c:v>229997.26125099999</c:v>
                </c:pt>
                <c:pt idx="1">
                  <c:v>1005380.939719</c:v>
                </c:pt>
                <c:pt idx="2">
                  <c:v>1192691.1673570001</c:v>
                </c:pt>
                <c:pt idx="3">
                  <c:v>1380308.3467550001</c:v>
                </c:pt>
              </c:numCache>
            </c:numRef>
          </c:val>
          <c:smooth val="0"/>
          <c:extLst>
            <c:ext xmlns:c16="http://schemas.microsoft.com/office/drawing/2014/chart" uri="{C3380CC4-5D6E-409C-BE32-E72D297353CC}">
              <c16:uniqueId val="{00000001-A641-41CC-A2FC-794B358BC6B5}"/>
            </c:ext>
          </c:extLst>
        </c:ser>
        <c:ser>
          <c:idx val="2"/>
          <c:order val="2"/>
          <c:tx>
            <c:strRef>
              <c:f>Loan!$D$3:$D$4</c:f>
              <c:strCache>
                <c:ptCount val="1"/>
                <c:pt idx="0">
                  <c:v>State Bank of India</c:v>
                </c:pt>
              </c:strCache>
            </c:strRef>
          </c:tx>
          <c:spPr>
            <a:ln w="34925" cap="rnd">
              <a:solidFill>
                <a:schemeClr val="accent3"/>
              </a:solidFill>
              <a:round/>
            </a:ln>
            <a:effectLst>
              <a:outerShdw blurRad="88900" dist="38100" dir="5040000" rotWithShape="0">
                <a:srgbClr val="000000">
                  <a:alpha val="60000"/>
                </a:srgbClr>
              </a:outerShdw>
            </a:effectLst>
          </c:spPr>
          <c:marker>
            <c:symbol val="circle"/>
            <c:size val="6"/>
            <c:spPr>
              <a:gradFill rotWithShape="1">
                <a:gsLst>
                  <a:gs pos="0">
                    <a:schemeClr val="accent3">
                      <a:tint val="98000"/>
                      <a:lumMod val="110000"/>
                    </a:schemeClr>
                  </a:gs>
                  <a:gs pos="84000">
                    <a:schemeClr val="accent3">
                      <a:shade val="90000"/>
                      <a:lumMod val="88000"/>
                    </a:schemeClr>
                  </a:gs>
                </a:gsLst>
                <a:lin ang="5400000" scaled="0"/>
              </a:gradFill>
              <a:ln w="9525">
                <a:solidFill>
                  <a:schemeClr val="accent3"/>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Loan!$A$5:$A$9</c:f>
              <c:strCache>
                <c:ptCount val="4"/>
                <c:pt idx="0">
                  <c:v>2021</c:v>
                </c:pt>
                <c:pt idx="1">
                  <c:v>2022</c:v>
                </c:pt>
                <c:pt idx="2">
                  <c:v>2023</c:v>
                </c:pt>
                <c:pt idx="3">
                  <c:v>2024</c:v>
                </c:pt>
              </c:strCache>
            </c:strRef>
          </c:cat>
          <c:val>
            <c:numRef>
              <c:f>Loan!$D$5:$D$9</c:f>
              <c:numCache>
                <c:formatCode>General</c:formatCode>
                <c:ptCount val="4"/>
                <c:pt idx="0">
                  <c:v>2616410.145972</c:v>
                </c:pt>
                <c:pt idx="1">
                  <c:v>2851684.210132</c:v>
                </c:pt>
                <c:pt idx="2">
                  <c:v>3120239.7052080003</c:v>
                </c:pt>
                <c:pt idx="3">
                  <c:v>3466087.325313</c:v>
                </c:pt>
              </c:numCache>
            </c:numRef>
          </c:val>
          <c:smooth val="0"/>
          <c:extLst>
            <c:ext xmlns:c16="http://schemas.microsoft.com/office/drawing/2014/chart" uri="{C3380CC4-5D6E-409C-BE32-E72D297353CC}">
              <c16:uniqueId val="{00000002-A641-41CC-A2FC-794B358BC6B5}"/>
            </c:ext>
          </c:extLst>
        </c:ser>
        <c:dLbls>
          <c:showLegendKey val="0"/>
          <c:showVal val="0"/>
          <c:showCatName val="0"/>
          <c:showSerName val="0"/>
          <c:showPercent val="0"/>
          <c:showBubbleSize val="0"/>
        </c:dLbls>
        <c:marker val="1"/>
        <c:smooth val="0"/>
        <c:axId val="1630316047"/>
        <c:axId val="1630324207"/>
      </c:lineChart>
      <c:catAx>
        <c:axId val="16303160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0324207"/>
        <c:crosses val="autoZero"/>
        <c:auto val="1"/>
        <c:lblAlgn val="ctr"/>
        <c:lblOffset val="100"/>
        <c:noMultiLvlLbl val="0"/>
      </c:catAx>
      <c:valAx>
        <c:axId val="1630324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031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114300</xdr:colOff>
      <xdr:row>9</xdr:row>
      <xdr:rowOff>0</xdr:rowOff>
    </xdr:from>
    <xdr:to>
      <xdr:col>12</xdr:col>
      <xdr:colOff>419100</xdr:colOff>
      <xdr:row>24</xdr:row>
      <xdr:rowOff>0</xdr:rowOff>
    </xdr:to>
    <xdr:graphicFrame macro="">
      <xdr:nvGraphicFramePr>
        <xdr:cNvPr id="2" name="Chart 1">
          <a:extLst>
            <a:ext uri="{FF2B5EF4-FFF2-40B4-BE49-F238E27FC236}">
              <a16:creationId xmlns:a16="http://schemas.microsoft.com/office/drawing/2014/main" id="{8B9C2F4E-5969-8BC6-DE05-51CE0A218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60960</xdr:colOff>
      <xdr:row>9</xdr:row>
      <xdr:rowOff>160020</xdr:rowOff>
    </xdr:from>
    <xdr:to>
      <xdr:col>12</xdr:col>
      <xdr:colOff>365760</xdr:colOff>
      <xdr:row>24</xdr:row>
      <xdr:rowOff>160020</xdr:rowOff>
    </xdr:to>
    <xdr:graphicFrame macro="">
      <xdr:nvGraphicFramePr>
        <xdr:cNvPr id="2" name="Chart 1">
          <a:extLst>
            <a:ext uri="{FF2B5EF4-FFF2-40B4-BE49-F238E27FC236}">
              <a16:creationId xmlns:a16="http://schemas.microsoft.com/office/drawing/2014/main" id="{6A1A8FCA-55BC-1680-EB32-19AB7E2D2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152400</xdr:colOff>
      <xdr:row>8</xdr:row>
      <xdr:rowOff>83820</xdr:rowOff>
    </xdr:from>
    <xdr:to>
      <xdr:col>12</xdr:col>
      <xdr:colOff>457200</xdr:colOff>
      <xdr:row>23</xdr:row>
      <xdr:rowOff>83820</xdr:rowOff>
    </xdr:to>
    <xdr:graphicFrame macro="">
      <xdr:nvGraphicFramePr>
        <xdr:cNvPr id="2" name="Chart 1">
          <a:extLst>
            <a:ext uri="{FF2B5EF4-FFF2-40B4-BE49-F238E27FC236}">
              <a16:creationId xmlns:a16="http://schemas.microsoft.com/office/drawing/2014/main" id="{45EBD6AA-C610-5EC4-FEDD-48B74D29A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182880</xdr:colOff>
      <xdr:row>10</xdr:row>
      <xdr:rowOff>15240</xdr:rowOff>
    </xdr:from>
    <xdr:to>
      <xdr:col>12</xdr:col>
      <xdr:colOff>487680</xdr:colOff>
      <xdr:row>25</xdr:row>
      <xdr:rowOff>15240</xdr:rowOff>
    </xdr:to>
    <xdr:graphicFrame macro="">
      <xdr:nvGraphicFramePr>
        <xdr:cNvPr id="3" name="Chart 2">
          <a:extLst>
            <a:ext uri="{FF2B5EF4-FFF2-40B4-BE49-F238E27FC236}">
              <a16:creationId xmlns:a16="http://schemas.microsoft.com/office/drawing/2014/main" id="{892F5A2F-5845-8612-43CB-405231A6B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419100</xdr:colOff>
      <xdr:row>3</xdr:row>
      <xdr:rowOff>30480</xdr:rowOff>
    </xdr:from>
    <xdr:to>
      <xdr:col>11</xdr:col>
      <xdr:colOff>0</xdr:colOff>
      <xdr:row>18</xdr:row>
      <xdr:rowOff>30480</xdr:rowOff>
    </xdr:to>
    <xdr:graphicFrame macro="">
      <xdr:nvGraphicFramePr>
        <xdr:cNvPr id="2" name="Chart 1">
          <a:extLst>
            <a:ext uri="{FF2B5EF4-FFF2-40B4-BE49-F238E27FC236}">
              <a16:creationId xmlns:a16="http://schemas.microsoft.com/office/drawing/2014/main" id="{6586233C-D8C2-40CA-B357-914D455FC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160020</xdr:colOff>
      <xdr:row>3</xdr:row>
      <xdr:rowOff>30480</xdr:rowOff>
    </xdr:from>
    <xdr:to>
      <xdr:col>18</xdr:col>
      <xdr:colOff>243840</xdr:colOff>
      <xdr:row>18</xdr:row>
      <xdr:rowOff>15239</xdr:rowOff>
    </xdr:to>
    <xdr:graphicFrame macro="">
      <xdr:nvGraphicFramePr>
        <xdr:cNvPr id="3" name="Chart 2">
          <a:extLst>
            <a:ext uri="{FF2B5EF4-FFF2-40B4-BE49-F238E27FC236}">
              <a16:creationId xmlns:a16="http://schemas.microsoft.com/office/drawing/2014/main" id="{740130B3-D261-472C-94EB-9E90F8DC3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388620</xdr:colOff>
      <xdr:row>18</xdr:row>
      <xdr:rowOff>175260</xdr:rowOff>
    </xdr:from>
    <xdr:to>
      <xdr:col>11</xdr:col>
      <xdr:colOff>0</xdr:colOff>
      <xdr:row>33</xdr:row>
      <xdr:rowOff>175260</xdr:rowOff>
    </xdr:to>
    <xdr:graphicFrame macro="">
      <xdr:nvGraphicFramePr>
        <xdr:cNvPr id="4" name="Chart 3">
          <a:extLst>
            <a:ext uri="{FF2B5EF4-FFF2-40B4-BE49-F238E27FC236}">
              <a16:creationId xmlns:a16="http://schemas.microsoft.com/office/drawing/2014/main" id="{5B8C9141-566D-416F-9135-FE27EFA83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160020</xdr:colOff>
      <xdr:row>18</xdr:row>
      <xdr:rowOff>175260</xdr:rowOff>
    </xdr:from>
    <xdr:to>
      <xdr:col>18</xdr:col>
      <xdr:colOff>243840</xdr:colOff>
      <xdr:row>33</xdr:row>
      <xdr:rowOff>175260</xdr:rowOff>
    </xdr:to>
    <xdr:graphicFrame macro="">
      <xdr:nvGraphicFramePr>
        <xdr:cNvPr id="5" name="Chart 4">
          <a:extLst>
            <a:ext uri="{FF2B5EF4-FFF2-40B4-BE49-F238E27FC236}">
              <a16:creationId xmlns:a16="http://schemas.microsoft.com/office/drawing/2014/main" id="{B685BEAF-25B2-485E-AF95-3872AF7E0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68580</xdr:colOff>
      <xdr:row>3</xdr:row>
      <xdr:rowOff>45721</xdr:rowOff>
    </xdr:from>
    <xdr:to>
      <xdr:col>3</xdr:col>
      <xdr:colOff>251460</xdr:colOff>
      <xdr:row>8</xdr:row>
      <xdr:rowOff>121921</xdr:rowOff>
    </xdr:to>
    <mc:AlternateContent xmlns:mc="http://schemas.openxmlformats.org/markup-compatibility/2006">
      <mc:Choice xmlns:a14="http://schemas.microsoft.com/office/drawing/2010/main" Requires="a14">
        <xdr:graphicFrame macro="">
          <xdr:nvGraphicFramePr>
            <xdr:cNvPr id="6" name="Company">
              <a:extLst>
                <a:ext uri="{FF2B5EF4-FFF2-40B4-BE49-F238E27FC236}">
                  <a16:creationId xmlns:a16="http://schemas.microsoft.com/office/drawing/2014/main" id="{1D4B6E5B-013F-512A-7B3D-FE5069DADBC8}"/>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68580" y="731521"/>
              <a:ext cx="201168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10</xdr:row>
      <xdr:rowOff>22861</xdr:rowOff>
    </xdr:from>
    <xdr:to>
      <xdr:col>3</xdr:col>
      <xdr:colOff>266700</xdr:colOff>
      <xdr:row>16</xdr:row>
      <xdr:rowOff>175261</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C84B9053-FD14-DD00-368E-FF38AF5921F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3820" y="2308861"/>
              <a:ext cx="201168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18</xdr:row>
      <xdr:rowOff>167641</xdr:rowOff>
    </xdr:from>
    <xdr:to>
      <xdr:col>3</xdr:col>
      <xdr:colOff>259080</xdr:colOff>
      <xdr:row>28</xdr:row>
      <xdr:rowOff>167641</xdr:rowOff>
    </xdr:to>
    <mc:AlternateContent xmlns:mc="http://schemas.openxmlformats.org/markup-compatibility/2006">
      <mc:Choice xmlns:a14="http://schemas.microsoft.com/office/drawing/2010/main" Requires="a14">
        <xdr:graphicFrame macro="">
          <xdr:nvGraphicFramePr>
            <xdr:cNvPr id="8" name="Metric">
              <a:extLst>
                <a:ext uri="{FF2B5EF4-FFF2-40B4-BE49-F238E27FC236}">
                  <a16:creationId xmlns:a16="http://schemas.microsoft.com/office/drawing/2014/main" id="{E36480AB-38B6-AAA2-2AD5-54B5CEC08A3D}"/>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dr:sp macro="" textlink="">
          <xdr:nvSpPr>
            <xdr:cNvPr id="0" name=""/>
            <xdr:cNvSpPr>
              <a:spLocks noTextEdit="1"/>
            </xdr:cNvSpPr>
          </xdr:nvSpPr>
          <xdr:spPr>
            <a:xfrm>
              <a:off x="76200" y="4282441"/>
              <a:ext cx="201168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 refreshedDate="46110.198632523148" createdVersion="8" refreshedVersion="8" minRefreshableVersion="3" recordCount="72" xr:uid="{EB91ACB3-CDE1-4142-9003-C7ACF3489ED3}">
  <cacheSource type="worksheet">
    <worksheetSource name="Table2"/>
  </cacheSource>
  <cacheFields count="4">
    <cacheField name="Company" numFmtId="0">
      <sharedItems count="3">
        <s v="HDFC"/>
        <s v="ICIC Bank"/>
        <s v="State Bank of India"/>
      </sharedItems>
    </cacheField>
    <cacheField name="Year" numFmtId="0">
      <sharedItems containsSemiMixedTypes="0" containsString="0" containsNumber="1" containsInteger="1" minValue="2021" maxValue="2024" count="4">
        <n v="2021"/>
        <n v="2022"/>
        <n v="2023"/>
        <n v="2024"/>
      </sharedItems>
    </cacheField>
    <cacheField name="Metric" numFmtId="0">
      <sharedItems count="6">
        <s v="Profit"/>
        <s v="Revenue"/>
        <s v="Loans"/>
        <s v="ROE"/>
        <s v="Margin"/>
        <s v="Growth"/>
      </sharedItems>
    </cacheField>
    <cacheField name="Value" numFmtId="0">
      <sharedItems containsString="0" containsBlank="1" containsNumber="1" minValue="6.8953E-2" maxValue="25078000"/>
    </cacheField>
  </cacheFields>
  <extLst>
    <ext xmlns:x14="http://schemas.microsoft.com/office/spreadsheetml/2009/9/main" uri="{725AE2AE-9491-48be-B2B4-4EB974FC3084}">
      <x14:pivotCacheDefinition pivotCacheId="1608854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x v="0"/>
    <n v="31857"/>
  </r>
  <r>
    <x v="0"/>
    <x v="0"/>
    <x v="1"/>
    <n v="128552"/>
  </r>
  <r>
    <x v="0"/>
    <x v="0"/>
    <x v="2"/>
    <n v="1132837"/>
  </r>
  <r>
    <x v="0"/>
    <x v="0"/>
    <x v="3"/>
    <n v="0.149563"/>
  </r>
  <r>
    <x v="0"/>
    <x v="0"/>
    <x v="4"/>
    <n v="0.24781400000000001"/>
  </r>
  <r>
    <x v="0"/>
    <x v="0"/>
    <x v="5"/>
    <m/>
  </r>
  <r>
    <x v="0"/>
    <x v="1"/>
    <x v="0"/>
    <n v="38151"/>
  </r>
  <r>
    <x v="0"/>
    <x v="1"/>
    <x v="1"/>
    <n v="135936"/>
  </r>
  <r>
    <x v="0"/>
    <x v="1"/>
    <x v="2"/>
    <n v="1368821"/>
  </r>
  <r>
    <x v="0"/>
    <x v="1"/>
    <x v="3"/>
    <n v="0.15896299999999999"/>
  </r>
  <r>
    <x v="0"/>
    <x v="1"/>
    <x v="4"/>
    <n v="0.28065400000000001"/>
  </r>
  <r>
    <x v="0"/>
    <x v="1"/>
    <x v="5"/>
    <n v="17.23995"/>
  </r>
  <r>
    <x v="0"/>
    <x v="2"/>
    <x v="0"/>
    <n v="44108"/>
  </r>
  <r>
    <x v="0"/>
    <x v="2"/>
    <x v="1"/>
    <n v="160910"/>
  </r>
  <r>
    <x v="0"/>
    <x v="2"/>
    <x v="2"/>
    <n v="160910"/>
  </r>
  <r>
    <x v="0"/>
    <x v="2"/>
    <x v="3"/>
    <n v="0.16336300000000001"/>
  </r>
  <r>
    <x v="0"/>
    <x v="2"/>
    <x v="4"/>
    <n v="0.27411600000000003"/>
  </r>
  <r>
    <x v="0"/>
    <x v="2"/>
    <x v="5"/>
    <n v="14.48001"/>
  </r>
  <r>
    <x v="0"/>
    <x v="3"/>
    <x v="0"/>
    <n v="60810"/>
  </r>
  <r>
    <x v="0"/>
    <x v="3"/>
    <x v="1"/>
    <n v="195000"/>
  </r>
  <r>
    <x v="0"/>
    <x v="3"/>
    <x v="2"/>
    <n v="25078000"/>
  </r>
  <r>
    <x v="0"/>
    <x v="3"/>
    <x v="3"/>
    <n v="0.19003100000000001"/>
  </r>
  <r>
    <x v="0"/>
    <x v="3"/>
    <x v="4"/>
    <n v="0.31184600000000001"/>
  </r>
  <r>
    <x v="0"/>
    <x v="3"/>
    <x v="5"/>
    <n v="93.617570000000001"/>
  </r>
  <r>
    <x v="1"/>
    <x v="0"/>
    <x v="0"/>
    <n v="16193"/>
  </r>
  <r>
    <x v="1"/>
    <x v="0"/>
    <x v="1"/>
    <n v="106902"/>
  </r>
  <r>
    <x v="1"/>
    <x v="0"/>
    <x v="2"/>
    <n v="106902"/>
  </r>
  <r>
    <x v="1"/>
    <x v="0"/>
    <x v="3"/>
    <n v="0.109776"/>
  </r>
  <r>
    <x v="1"/>
    <x v="0"/>
    <x v="4"/>
    <n v="0.151475"/>
  </r>
  <r>
    <x v="1"/>
    <x v="0"/>
    <x v="5"/>
    <m/>
  </r>
  <r>
    <x v="1"/>
    <x v="1"/>
    <x v="0"/>
    <n v="25110"/>
  </r>
  <r>
    <x v="1"/>
    <x v="1"/>
    <x v="1"/>
    <n v="121236"/>
  </r>
  <r>
    <x v="1"/>
    <x v="1"/>
    <x v="2"/>
    <n v="859020"/>
  </r>
  <r>
    <x v="1"/>
    <x v="1"/>
    <x v="3"/>
    <n v="0.147262"/>
  </r>
  <r>
    <x v="1"/>
    <x v="1"/>
    <x v="4"/>
    <n v="0.207117"/>
  </r>
  <r>
    <x v="1"/>
    <x v="1"/>
    <x v="5"/>
    <n v="14.58534"/>
  </r>
  <r>
    <x v="1"/>
    <x v="2"/>
    <x v="0"/>
    <n v="34037"/>
  </r>
  <r>
    <x v="1"/>
    <x v="2"/>
    <x v="1"/>
    <n v="139000"/>
  </r>
  <r>
    <x v="1"/>
    <x v="2"/>
    <x v="2"/>
    <n v="1019638"/>
  </r>
  <r>
    <x v="1"/>
    <x v="2"/>
    <x v="3"/>
    <n v="0.17003599999999999"/>
  </r>
  <r>
    <x v="1"/>
    <x v="2"/>
    <x v="4"/>
    <n v="0.24487100000000001"/>
  </r>
  <r>
    <x v="1"/>
    <x v="2"/>
    <x v="5"/>
    <n v="15.75245"/>
  </r>
  <r>
    <x v="1"/>
    <x v="3"/>
    <x v="0"/>
    <n v="40888"/>
  </r>
  <r>
    <x v="1"/>
    <x v="3"/>
    <x v="1"/>
    <n v="155000"/>
  </r>
  <r>
    <x v="1"/>
    <x v="3"/>
    <x v="2"/>
    <n v="1184406"/>
  </r>
  <r>
    <x v="1"/>
    <x v="3"/>
    <x v="3"/>
    <n v="0.171511"/>
  </r>
  <r>
    <x v="1"/>
    <x v="3"/>
    <x v="4"/>
    <n v="0.26379399999999997"/>
  </r>
  <r>
    <x v="1"/>
    <x v="3"/>
    <x v="5"/>
    <n v="13.91145"/>
  </r>
  <r>
    <x v="2"/>
    <x v="0"/>
    <x v="0"/>
    <n v="20410"/>
  </r>
  <r>
    <x v="2"/>
    <x v="0"/>
    <x v="1"/>
    <n v="296000"/>
  </r>
  <r>
    <x v="2"/>
    <x v="0"/>
    <x v="2"/>
    <n v="2300000"/>
  </r>
  <r>
    <x v="2"/>
    <x v="0"/>
    <x v="3"/>
    <n v="7.7019000000000004E-2"/>
  </r>
  <r>
    <x v="2"/>
    <x v="0"/>
    <x v="4"/>
    <n v="6.8953E-2"/>
  </r>
  <r>
    <x v="2"/>
    <x v="0"/>
    <x v="5"/>
    <m/>
  </r>
  <r>
    <x v="2"/>
    <x v="1"/>
    <x v="0"/>
    <n v="31676"/>
  </r>
  <r>
    <x v="2"/>
    <x v="1"/>
    <x v="1"/>
    <n v="320000"/>
  </r>
  <r>
    <x v="2"/>
    <x v="1"/>
    <x v="2"/>
    <n v="2500000"/>
  </r>
  <r>
    <x v="2"/>
    <x v="1"/>
    <x v="3"/>
    <n v="0.11114400000000001"/>
  </r>
  <r>
    <x v="2"/>
    <x v="1"/>
    <x v="4"/>
    <n v="9.8988000000000007E-2"/>
  </r>
  <r>
    <x v="2"/>
    <x v="1"/>
    <x v="5"/>
    <n v="8"/>
  </r>
  <r>
    <x v="2"/>
    <x v="2"/>
    <x v="0"/>
    <n v="50232"/>
  </r>
  <r>
    <x v="2"/>
    <x v="2"/>
    <x v="1"/>
    <n v="370000"/>
  </r>
  <r>
    <x v="2"/>
    <x v="2"/>
    <x v="2"/>
    <n v="2700000"/>
  </r>
  <r>
    <x v="2"/>
    <x v="2"/>
    <x v="3"/>
    <n v="0.16203899999999999"/>
  </r>
  <r>
    <x v="2"/>
    <x v="2"/>
    <x v="4"/>
    <n v="0.13576199999999999"/>
  </r>
  <r>
    <x v="2"/>
    <x v="2"/>
    <x v="5"/>
    <n v="7.4074070000000001"/>
  </r>
  <r>
    <x v="2"/>
    <x v="3"/>
    <x v="0"/>
    <n v="61077"/>
  </r>
  <r>
    <x v="2"/>
    <x v="3"/>
    <x v="1"/>
    <n v="405000"/>
  </r>
  <r>
    <x v="2"/>
    <x v="3"/>
    <x v="2"/>
    <n v="3000000"/>
  </r>
  <r>
    <x v="2"/>
    <x v="3"/>
    <x v="3"/>
    <n v="0.17450599999999999"/>
  </r>
  <r>
    <x v="2"/>
    <x v="3"/>
    <x v="4"/>
    <n v="0.150807"/>
  </r>
  <r>
    <x v="2"/>
    <x v="3"/>
    <x v="5"/>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7B117D-7F06-420E-9E09-3352A343667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9" firstHeaderRow="1" firstDataRow="2" firstDataCol="1" rowPageCount="1" colPageCount="1"/>
  <pivotFields count="4">
    <pivotField axis="axisCol" showAll="0">
      <items count="4">
        <item x="0"/>
        <item x="1"/>
        <item x="2"/>
        <item t="default"/>
      </items>
    </pivotField>
    <pivotField axis="axisRow" showAll="0">
      <items count="5">
        <item x="0"/>
        <item x="1"/>
        <item x="2"/>
        <item x="3"/>
        <item t="default"/>
      </items>
    </pivotField>
    <pivotField axis="axisPage" multipleItemSelectionAllowed="1" showAll="0">
      <items count="7">
        <item x="5"/>
        <item x="2"/>
        <item x="4"/>
        <item x="0"/>
        <item x="1"/>
        <item x="3"/>
        <item t="default"/>
      </items>
    </pivotField>
    <pivotField dataField="1" showAll="0"/>
  </pivotFields>
  <rowFields count="1">
    <field x="1"/>
  </rowFields>
  <rowItems count="5">
    <i>
      <x/>
    </i>
    <i>
      <x v="1"/>
    </i>
    <i>
      <x v="2"/>
    </i>
    <i>
      <x v="3"/>
    </i>
    <i t="grand">
      <x/>
    </i>
  </rowItems>
  <colFields count="1">
    <field x="0"/>
  </colFields>
  <colItems count="4">
    <i>
      <x/>
    </i>
    <i>
      <x v="1"/>
    </i>
    <i>
      <x v="2"/>
    </i>
    <i t="grand">
      <x/>
    </i>
  </colItems>
  <pageFields count="1">
    <pageField fld="2" hier="-1"/>
  </pageFields>
  <dataFields count="1">
    <dataField name="Sum of Value" fld="3" baseField="0"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72C6EC-BFFF-474F-867C-44B40C63727C}"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rowPageCount="1" colPageCount="1"/>
  <pivotFields count="4">
    <pivotField axis="axisCol" showAll="0">
      <items count="4">
        <item x="0"/>
        <item x="1"/>
        <item x="2"/>
        <item t="default"/>
      </items>
    </pivotField>
    <pivotField axis="axisRow" showAll="0">
      <items count="5">
        <item x="0"/>
        <item x="1"/>
        <item x="2"/>
        <item x="3"/>
        <item t="default"/>
      </items>
    </pivotField>
    <pivotField axis="axisPage" multipleItemSelectionAllowed="1" showAll="0">
      <items count="7">
        <item x="5"/>
        <item x="2"/>
        <item x="4"/>
        <item x="0"/>
        <item x="1"/>
        <item x="3"/>
        <item t="default"/>
      </items>
    </pivotField>
    <pivotField dataField="1" showAll="0"/>
  </pivotFields>
  <rowFields count="1">
    <field x="1"/>
  </rowFields>
  <rowItems count="5">
    <i>
      <x/>
    </i>
    <i>
      <x v="1"/>
    </i>
    <i>
      <x v="2"/>
    </i>
    <i>
      <x v="3"/>
    </i>
    <i t="grand">
      <x/>
    </i>
  </rowItems>
  <colFields count="1">
    <field x="0"/>
  </colFields>
  <colItems count="4">
    <i>
      <x/>
    </i>
    <i>
      <x v="1"/>
    </i>
    <i>
      <x v="2"/>
    </i>
    <i t="grand">
      <x/>
    </i>
  </colItems>
  <pageFields count="1">
    <pageField fld="2" hier="-1"/>
  </pageFields>
  <dataFields count="1">
    <dataField name="Sum of Value" fld="3"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B58620-69C3-4AAE-8AE6-C9E17C5042F2}"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rowPageCount="1" colPageCount="1"/>
  <pivotFields count="4">
    <pivotField axis="axisCol" showAll="0">
      <items count="4">
        <item x="0"/>
        <item x="1"/>
        <item x="2"/>
        <item t="default"/>
      </items>
    </pivotField>
    <pivotField axis="axisRow" showAll="0">
      <items count="5">
        <item x="0"/>
        <item x="1"/>
        <item x="2"/>
        <item x="3"/>
        <item t="default"/>
      </items>
    </pivotField>
    <pivotField axis="axisPage" multipleItemSelectionAllowed="1" showAll="0">
      <items count="7">
        <item x="5"/>
        <item h="1" x="2"/>
        <item h="1" x="4"/>
        <item h="1" x="0"/>
        <item h="1" x="1"/>
        <item h="1" x="3"/>
        <item t="default"/>
      </items>
    </pivotField>
    <pivotField dataField="1" showAll="0"/>
  </pivotFields>
  <rowFields count="1">
    <field x="1"/>
  </rowFields>
  <rowItems count="5">
    <i>
      <x/>
    </i>
    <i>
      <x v="1"/>
    </i>
    <i>
      <x v="2"/>
    </i>
    <i>
      <x v="3"/>
    </i>
    <i t="grand">
      <x/>
    </i>
  </rowItems>
  <colFields count="1">
    <field x="0"/>
  </colFields>
  <colItems count="4">
    <i>
      <x/>
    </i>
    <i>
      <x v="1"/>
    </i>
    <i>
      <x v="2"/>
    </i>
    <i t="grand">
      <x/>
    </i>
  </colItems>
  <pageFields count="1">
    <pageField fld="2" hier="-1"/>
  </pageFields>
  <dataFields count="1">
    <dataField name="Sum of Value" fld="3" baseField="1"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6762CD-623A-4A4E-9D36-20B7E9C2A01B}"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E9" firstHeaderRow="1" firstDataRow="2" firstDataCol="1" rowPageCount="1" colPageCount="1"/>
  <pivotFields count="4">
    <pivotField axis="axisCol" showAll="0">
      <items count="4">
        <item x="0"/>
        <item x="1"/>
        <item x="2"/>
        <item t="default"/>
      </items>
    </pivotField>
    <pivotField axis="axisRow" showAll="0">
      <items count="5">
        <item x="0"/>
        <item x="1"/>
        <item x="2"/>
        <item x="3"/>
        <item t="default"/>
      </items>
    </pivotField>
    <pivotField axis="axisPage" multipleItemSelectionAllowed="1" showAll="0">
      <items count="7">
        <item x="5"/>
        <item x="2"/>
        <item x="4"/>
        <item x="0"/>
        <item x="1"/>
        <item x="3"/>
        <item t="default"/>
      </items>
    </pivotField>
    <pivotField dataField="1" showAll="0"/>
  </pivotFields>
  <rowFields count="1">
    <field x="1"/>
  </rowFields>
  <rowItems count="5">
    <i>
      <x/>
    </i>
    <i>
      <x v="1"/>
    </i>
    <i>
      <x v="2"/>
    </i>
    <i>
      <x v="3"/>
    </i>
    <i t="grand">
      <x/>
    </i>
  </rowItems>
  <colFields count="1">
    <field x="0"/>
  </colFields>
  <colItems count="4">
    <i>
      <x/>
    </i>
    <i>
      <x v="1"/>
    </i>
    <i>
      <x v="2"/>
    </i>
    <i t="grand">
      <x/>
    </i>
  </colItems>
  <pageFields count="1">
    <pageField fld="2" hier="-1"/>
  </pageFields>
  <dataFields count="1">
    <dataField name="Sum of Value" fld="3" baseField="1" baseItem="0"/>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2">
          <reference field="4294967294" count="1" selected="0">
            <x v="0"/>
          </reference>
          <reference field="0" count="1" selected="0">
            <x v="2"/>
          </reference>
        </references>
      </pivotArea>
    </chartFormat>
    <chartFormat chart="10" format="9" series="1">
      <pivotArea type="data" outline="0" fieldPosition="0">
        <references count="2">
          <reference field="4294967294" count="1" selected="0">
            <x v="0"/>
          </reference>
          <reference field="0" count="1" selected="0">
            <x v="0"/>
          </reference>
        </references>
      </pivotArea>
    </chartFormat>
    <chartFormat chart="10" format="10" series="1">
      <pivotArea type="data" outline="0" fieldPosition="0">
        <references count="2">
          <reference field="4294967294" count="1" selected="0">
            <x v="0"/>
          </reference>
          <reference field="0" count="1" selected="0">
            <x v="1"/>
          </reference>
        </references>
      </pivotArea>
    </chartFormat>
    <chartFormat chart="10" format="11" series="1">
      <pivotArea type="data" outline="0" fieldPosition="0">
        <references count="2">
          <reference field="4294967294" count="1" selected="0">
            <x v="0"/>
          </reference>
          <reference field="0" count="1" selected="0">
            <x v="2"/>
          </reference>
        </references>
      </pivotArea>
    </chartFormat>
    <chartFormat chart="12" format="6" series="1">
      <pivotArea type="data" outline="0" fieldPosition="0">
        <references count="2">
          <reference field="4294967294" count="1" selected="0">
            <x v="0"/>
          </reference>
          <reference field="0" count="1" selected="0">
            <x v="0"/>
          </reference>
        </references>
      </pivotArea>
    </chartFormat>
    <chartFormat chart="12" format="7" series="1">
      <pivotArea type="data" outline="0" fieldPosition="0">
        <references count="2">
          <reference field="4294967294" count="1" selected="0">
            <x v="0"/>
          </reference>
          <reference field="0" count="1" selected="0">
            <x v="1"/>
          </reference>
        </references>
      </pivotArea>
    </chartFormat>
    <chartFormat chart="12"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3B87456B-BBEB-44C9-AAA6-F290DAE385F4}" sourceName="Company">
  <pivotTables>
    <pivotTable tabId="12" name="PivotTable3"/>
    <pivotTable tabId="8" name="PivotTable3"/>
    <pivotTable tabId="9" name="PivotTable3"/>
    <pivotTable tabId="10" name="PivotTable3"/>
  </pivotTables>
  <data>
    <tabular pivotCacheId="160885450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2DDECE-FFCB-4607-A637-ACE4720C289E}" sourceName="Year">
  <pivotTables>
    <pivotTable tabId="12" name="PivotTable3"/>
    <pivotTable tabId="8" name="PivotTable3"/>
    <pivotTable tabId="9" name="PivotTable3"/>
    <pivotTable tabId="10" name="PivotTable3"/>
  </pivotTables>
  <data>
    <tabular pivotCacheId="160885450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9359F4B3-C4E5-42FB-A5E7-940D544DDB87}" sourceName="Metric">
  <pivotTables>
    <pivotTable tabId="12" name="PivotTable3"/>
    <pivotTable tabId="8" name="PivotTable3"/>
    <pivotTable tabId="9" name="PivotTable3"/>
  </pivotTables>
  <data>
    <tabular pivotCacheId="1608854508">
      <items count="6">
        <i x="5" s="1"/>
        <i x="2" s="1"/>
        <i x="4"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40A921D7-C8A0-4AEE-B557-C0D2A5381D5F}" cache="Slicer_Company" caption="Company" rowHeight="234950"/>
  <slicer name="Year" xr10:uid="{FC9C25C4-A2BB-4AD0-BE5B-A09F84168CCA}" cache="Slicer_Year" caption="Year" rowHeight="234950"/>
  <slicer name="Metric" xr10:uid="{EEDAC70A-0341-478C-9EE4-D1ABCDD1DDA5}" cache="Slicer_Metric" caption="Metric"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10685C-9A40-42FD-A230-579C6E334A24}" name="Table1" displayName="Table1" ref="A1:I13" totalsRowShown="0" headerRowDxfId="0">
  <autoFilter ref="A1:I13" xr:uid="{1D10685C-9A40-42FD-A230-579C6E334A24}"/>
  <tableColumns count="9">
    <tableColumn id="1" xr3:uid="{F5AF36F3-F990-479B-BD80-ABC8807D5DB2}" name="Company"/>
    <tableColumn id="2" xr3:uid="{6132C3BB-3ADF-47A0-8AB8-CFECB1E1AC78}" name="Year" dataDxfId="5"/>
    <tableColumn id="3" xr3:uid="{4CC30F1C-734E-476A-85A4-C2A1FFD29A32}" name="Profit" dataDxfId="4"/>
    <tableColumn id="4" xr3:uid="{F976FA97-0227-41FA-88B8-A35BF79830FF}" name="Revenue" dataDxfId="3"/>
    <tableColumn id="5" xr3:uid="{6B1BB052-AB07-440F-9BCB-2674E6CCB09D}" name="Equity" dataDxfId="2"/>
    <tableColumn id="6" xr3:uid="{BE5180A3-5BCD-47B3-A25F-37A336C7C4AA}" name="Loans " dataDxfId="1"/>
    <tableColumn id="7" xr3:uid="{ECE56634-987D-4FD9-8B28-58AC9CB5D6B9}" name="ROE">
      <calculatedColumnFormula>C2/E2</calculatedColumnFormula>
    </tableColumn>
    <tableColumn id="8" xr3:uid="{CB3EF06C-56E0-48F6-B4B3-ABEC326822A2}" name="Profit Margin">
      <calculatedColumnFormula>C2/D2</calculatedColumnFormula>
    </tableColumn>
    <tableColumn id="9" xr3:uid="{07A2474B-5016-4FDB-8B71-89B62CF024D1}" name="Lone Growth ">
      <calculatedColumnFormula>(F2-F1)/F2*100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19FB04-937D-4081-8A95-9DF7200335C3}" name="Table2" displayName="Table2" ref="A1:D73" totalsRowShown="0">
  <autoFilter ref="A1:D73" xr:uid="{1819FB04-937D-4081-8A95-9DF7200335C3}"/>
  <tableColumns count="4">
    <tableColumn id="1" xr3:uid="{7EAA3F92-859B-46DD-BD8B-7D1360163E08}" name="Company"/>
    <tableColumn id="2" xr3:uid="{F4742202-4490-4E10-8A08-6B059379545F}" name="Year"/>
    <tableColumn id="3" xr3:uid="{6DAAEF70-63CF-4DE6-8ACB-85A539BC8FB3}" name="Metric"/>
    <tableColumn id="4" xr3:uid="{799DD2D5-A143-4442-9391-CC8DD53FC43C}" name="Value"/>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1211-42DC-4454-8A70-050582076EAD}">
  <dimension ref="A1:I17"/>
  <sheetViews>
    <sheetView workbookViewId="0">
      <selection activeCell="D18" sqref="D18"/>
    </sheetView>
  </sheetViews>
  <sheetFormatPr defaultRowHeight="18" x14ac:dyDescent="0.5"/>
  <cols>
    <col min="2" max="2" width="12.109375" customWidth="1"/>
    <col min="3" max="3" width="12.6640625" customWidth="1"/>
    <col min="5" max="5" width="9.88671875" customWidth="1"/>
    <col min="6" max="6" width="8.109375" customWidth="1"/>
  </cols>
  <sheetData>
    <row r="1" spans="1:9" ht="14.4" customHeight="1" x14ac:dyDescent="0.5">
      <c r="A1" s="8"/>
      <c r="B1" s="11" t="s">
        <v>24</v>
      </c>
      <c r="C1" s="11"/>
      <c r="D1" s="11"/>
      <c r="E1" s="11"/>
      <c r="F1" s="11"/>
      <c r="G1" s="7"/>
      <c r="H1" s="7"/>
    </row>
    <row r="2" spans="1:9" ht="19.8" x14ac:dyDescent="0.5">
      <c r="A2" s="12"/>
      <c r="B2" s="11"/>
      <c r="C2" s="11"/>
      <c r="D2" s="11"/>
      <c r="E2" s="11"/>
      <c r="F2" s="11"/>
      <c r="G2" s="7"/>
      <c r="H2" s="7"/>
    </row>
    <row r="3" spans="1:9" ht="52.2" x14ac:dyDescent="0.5">
      <c r="A3" s="13" t="s">
        <v>0</v>
      </c>
      <c r="B3" s="13" t="s">
        <v>1</v>
      </c>
      <c r="C3" s="13" t="s">
        <v>2</v>
      </c>
      <c r="D3" s="13" t="s">
        <v>3</v>
      </c>
      <c r="E3" s="13" t="s">
        <v>4</v>
      </c>
      <c r="F3" s="13" t="s">
        <v>6</v>
      </c>
      <c r="G3" s="13" t="s">
        <v>7</v>
      </c>
      <c r="H3" s="13" t="s">
        <v>8</v>
      </c>
    </row>
    <row r="4" spans="1:9" x14ac:dyDescent="0.5">
      <c r="A4" s="14">
        <v>2021</v>
      </c>
      <c r="B4" s="15">
        <v>31857</v>
      </c>
      <c r="C4" s="14">
        <v>128552</v>
      </c>
      <c r="D4" s="14">
        <v>213000</v>
      </c>
      <c r="E4" s="14">
        <v>1132837</v>
      </c>
      <c r="F4" s="16">
        <f>B4/D4</f>
        <v>0.14956338028169014</v>
      </c>
      <c r="G4" s="16">
        <f>B4/C4</f>
        <v>0.2478141141328023</v>
      </c>
      <c r="H4" s="16"/>
    </row>
    <row r="5" spans="1:9" x14ac:dyDescent="0.5">
      <c r="A5" s="14">
        <v>2022</v>
      </c>
      <c r="B5" s="15">
        <v>38151</v>
      </c>
      <c r="C5" s="14">
        <v>135936</v>
      </c>
      <c r="D5" s="14">
        <v>240000</v>
      </c>
      <c r="E5" s="14">
        <v>1368821</v>
      </c>
      <c r="F5" s="16">
        <f>B5/D5</f>
        <v>0.15896250000000001</v>
      </c>
      <c r="G5" s="16">
        <f t="shared" ref="G5:G7" si="0">B5/C5</f>
        <v>0.2806541313559322</v>
      </c>
      <c r="H5" s="16">
        <f>(E5-E4)/E5*100</f>
        <v>17.239945909655098</v>
      </c>
    </row>
    <row r="6" spans="1:9" x14ac:dyDescent="0.5">
      <c r="A6" s="14">
        <v>2023</v>
      </c>
      <c r="B6" s="15">
        <v>44108</v>
      </c>
      <c r="C6" s="14">
        <v>160910</v>
      </c>
      <c r="D6" s="14">
        <v>270000</v>
      </c>
      <c r="E6" s="14">
        <v>1600586</v>
      </c>
      <c r="F6" s="16">
        <f>B6/D6</f>
        <v>0.16336296296296296</v>
      </c>
      <c r="G6" s="16">
        <f t="shared" si="0"/>
        <v>0.27411596544652289</v>
      </c>
      <c r="H6" s="16">
        <f t="shared" ref="H6:H7" si="1">(E6-E5)/E6*100</f>
        <v>14.480009196631732</v>
      </c>
    </row>
    <row r="7" spans="1:9" x14ac:dyDescent="0.5">
      <c r="A7" s="14">
        <v>2024</v>
      </c>
      <c r="B7" s="15">
        <v>60810</v>
      </c>
      <c r="C7" s="14">
        <v>195000</v>
      </c>
      <c r="D7" s="14">
        <v>320000</v>
      </c>
      <c r="E7" s="15">
        <v>25078000</v>
      </c>
      <c r="F7" s="16">
        <f>B7/D7</f>
        <v>0.19003125000000001</v>
      </c>
      <c r="G7" s="16">
        <f t="shared" si="0"/>
        <v>0.31184615384615383</v>
      </c>
      <c r="H7" s="16">
        <f t="shared" si="1"/>
        <v>93.617569184145466</v>
      </c>
    </row>
    <row r="13" spans="1:9" x14ac:dyDescent="0.5">
      <c r="E13" s="1"/>
      <c r="F13" s="1"/>
      <c r="G13" s="1"/>
      <c r="H13" s="1"/>
      <c r="I13" s="1"/>
    </row>
    <row r="14" spans="1:9" x14ac:dyDescent="0.5">
      <c r="E14" s="2"/>
      <c r="F14" s="3"/>
      <c r="G14" s="2"/>
      <c r="H14" s="2"/>
      <c r="I14" s="2"/>
    </row>
    <row r="15" spans="1:9" x14ac:dyDescent="0.5">
      <c r="E15" s="2"/>
      <c r="F15" s="3"/>
      <c r="G15" s="2"/>
      <c r="H15" s="2"/>
      <c r="I15" s="2"/>
    </row>
    <row r="16" spans="1:9" x14ac:dyDescent="0.5">
      <c r="E16" s="2"/>
      <c r="F16" s="3"/>
      <c r="G16" s="2"/>
      <c r="H16" s="2"/>
      <c r="I16" s="2"/>
    </row>
    <row r="17" spans="5:9" x14ac:dyDescent="0.5">
      <c r="E17" s="2"/>
      <c r="F17" s="3"/>
      <c r="G17" s="2"/>
      <c r="H17" s="2"/>
      <c r="I17" s="3"/>
    </row>
  </sheetData>
  <mergeCells count="1">
    <mergeCell ref="B1:F2"/>
  </mergeCells>
  <pageMargins left="0.7" right="0.7" top="0.75" bottom="0.75" header="0.3" footer="0.3"/>
  <ignoredErrors>
    <ignoredError sqref="F5"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F360-1879-4922-BC37-5E7BD5448E14}">
  <dimension ref="A1:H6"/>
  <sheetViews>
    <sheetView workbookViewId="0">
      <selection sqref="A3:H7"/>
    </sheetView>
  </sheetViews>
  <sheetFormatPr defaultRowHeight="18" x14ac:dyDescent="0.5"/>
  <cols>
    <col min="3" max="3" width="13.6640625" customWidth="1"/>
    <col min="7" max="7" width="13.33203125" customWidth="1"/>
    <col min="8" max="8" width="14.44140625" customWidth="1"/>
  </cols>
  <sheetData>
    <row r="1" spans="1:8" ht="19.8" x14ac:dyDescent="0.5">
      <c r="A1" s="9"/>
      <c r="B1" s="10" t="s">
        <v>5</v>
      </c>
      <c r="C1" s="10"/>
      <c r="D1" s="10"/>
      <c r="E1" s="10"/>
      <c r="F1" s="9"/>
      <c r="G1" s="9"/>
      <c r="H1" s="9"/>
    </row>
    <row r="2" spans="1:8" ht="34.799999999999997" x14ac:dyDescent="0.5">
      <c r="A2" s="13" t="s">
        <v>0</v>
      </c>
      <c r="B2" s="13" t="s">
        <v>1</v>
      </c>
      <c r="C2" s="13" t="s">
        <v>2</v>
      </c>
      <c r="D2" s="13" t="s">
        <v>3</v>
      </c>
      <c r="E2" s="13" t="s">
        <v>4</v>
      </c>
      <c r="F2" s="13" t="s">
        <v>6</v>
      </c>
      <c r="G2" s="13" t="s">
        <v>7</v>
      </c>
      <c r="H2" s="13" t="s">
        <v>8</v>
      </c>
    </row>
    <row r="3" spans="1:8" x14ac:dyDescent="0.5">
      <c r="A3" s="14">
        <v>2021</v>
      </c>
      <c r="B3" s="15">
        <v>16193</v>
      </c>
      <c r="C3" s="14">
        <v>106902</v>
      </c>
      <c r="D3" s="14">
        <v>147509</v>
      </c>
      <c r="E3" s="14">
        <v>733729</v>
      </c>
      <c r="F3" s="16">
        <f>B3/D3</f>
        <v>0.10977635262933109</v>
      </c>
      <c r="G3" s="16">
        <f>B3/C3</f>
        <v>0.15147518287777589</v>
      </c>
      <c r="H3" s="16"/>
    </row>
    <row r="4" spans="1:8" x14ac:dyDescent="0.5">
      <c r="A4" s="14">
        <v>2022</v>
      </c>
      <c r="B4" s="15">
        <v>25110</v>
      </c>
      <c r="C4" s="14">
        <v>121236</v>
      </c>
      <c r="D4" s="14">
        <v>170512</v>
      </c>
      <c r="E4" s="14">
        <v>859020</v>
      </c>
      <c r="F4" s="16">
        <f t="shared" ref="F4:F6" si="0">B4/D4</f>
        <v>0.14726236276625693</v>
      </c>
      <c r="G4" s="16">
        <f t="shared" ref="G4:G6" si="1">B4/C4</f>
        <v>0.20711669801049193</v>
      </c>
      <c r="H4" s="16">
        <f>(E4-E3)/E4*100</f>
        <v>14.585341435589392</v>
      </c>
    </row>
    <row r="5" spans="1:8" x14ac:dyDescent="0.5">
      <c r="A5" s="14">
        <v>2023</v>
      </c>
      <c r="B5" s="15">
        <v>34037</v>
      </c>
      <c r="C5" s="14">
        <v>139000</v>
      </c>
      <c r="D5" s="14">
        <v>200175</v>
      </c>
      <c r="E5" s="14">
        <v>1019638</v>
      </c>
      <c r="F5" s="16">
        <f t="shared" si="0"/>
        <v>0.17003621830897964</v>
      </c>
      <c r="G5" s="16">
        <f t="shared" si="1"/>
        <v>0.24487050359712231</v>
      </c>
      <c r="H5" s="16">
        <f t="shared" ref="H5:H6" si="2">(E5-E4)/E5*100</f>
        <v>15.752453321669064</v>
      </c>
    </row>
    <row r="6" spans="1:8" x14ac:dyDescent="0.5">
      <c r="A6" s="14">
        <v>2024</v>
      </c>
      <c r="B6" s="15">
        <v>40888</v>
      </c>
      <c r="C6" s="14">
        <v>155000</v>
      </c>
      <c r="D6" s="14">
        <v>238399</v>
      </c>
      <c r="E6" s="14">
        <v>1184406</v>
      </c>
      <c r="F6" s="16">
        <f t="shared" si="0"/>
        <v>0.17151078653853413</v>
      </c>
      <c r="G6" s="16">
        <f t="shared" si="1"/>
        <v>0.26379354838709679</v>
      </c>
      <c r="H6" s="16">
        <f t="shared" si="2"/>
        <v>13.911445906217971</v>
      </c>
    </row>
  </sheetData>
  <mergeCells count="1">
    <mergeCell ref="B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C1FA-FE46-45AB-A939-F67F5FF4B7FC}">
  <dimension ref="A1:H7"/>
  <sheetViews>
    <sheetView workbookViewId="0">
      <selection sqref="A3:H7"/>
    </sheetView>
  </sheetViews>
  <sheetFormatPr defaultRowHeight="18" x14ac:dyDescent="0.5"/>
  <cols>
    <col min="3" max="3" width="13.88671875" customWidth="1"/>
    <col min="7" max="8" width="12" customWidth="1"/>
  </cols>
  <sheetData>
    <row r="1" spans="1:8" ht="19.8" x14ac:dyDescent="0.5">
      <c r="A1" s="9"/>
      <c r="B1" s="10" t="s">
        <v>17</v>
      </c>
      <c r="C1" s="10"/>
      <c r="D1" s="10"/>
      <c r="E1" s="10"/>
      <c r="F1" s="9"/>
      <c r="G1" s="9"/>
      <c r="H1" s="9"/>
    </row>
    <row r="2" spans="1:8" ht="19.8" x14ac:dyDescent="0.5">
      <c r="A2" s="9"/>
      <c r="B2" s="10"/>
      <c r="C2" s="10"/>
      <c r="D2" s="10"/>
      <c r="E2" s="10"/>
      <c r="F2" s="9"/>
      <c r="G2" s="9"/>
      <c r="H2" s="9"/>
    </row>
    <row r="3" spans="1:8" ht="34.799999999999997" x14ac:dyDescent="0.5">
      <c r="A3" s="13" t="s">
        <v>0</v>
      </c>
      <c r="B3" s="13" t="s">
        <v>1</v>
      </c>
      <c r="C3" s="13" t="s">
        <v>2</v>
      </c>
      <c r="D3" s="13" t="s">
        <v>3</v>
      </c>
      <c r="E3" s="13" t="s">
        <v>4</v>
      </c>
      <c r="F3" s="13" t="s">
        <v>6</v>
      </c>
      <c r="G3" s="13" t="s">
        <v>7</v>
      </c>
      <c r="H3" s="13" t="s">
        <v>8</v>
      </c>
    </row>
    <row r="4" spans="1:8" x14ac:dyDescent="0.5">
      <c r="A4" s="14">
        <v>2021</v>
      </c>
      <c r="B4" s="15">
        <v>20410</v>
      </c>
      <c r="C4" s="14">
        <v>296000</v>
      </c>
      <c r="D4" s="14">
        <v>265000</v>
      </c>
      <c r="E4" s="14">
        <v>2300000</v>
      </c>
      <c r="F4" s="16">
        <f>B4/D4</f>
        <v>7.7018867924528306E-2</v>
      </c>
      <c r="G4" s="16">
        <f>B4/C4</f>
        <v>6.8952702702702706E-2</v>
      </c>
      <c r="H4" s="16"/>
    </row>
    <row r="5" spans="1:8" x14ac:dyDescent="0.5">
      <c r="A5" s="14">
        <v>2022</v>
      </c>
      <c r="B5" s="15">
        <v>31676</v>
      </c>
      <c r="C5" s="14">
        <v>320000</v>
      </c>
      <c r="D5" s="14">
        <v>285000</v>
      </c>
      <c r="E5" s="14">
        <v>2500000</v>
      </c>
      <c r="F5" s="16">
        <f t="shared" ref="F5:F7" si="0">B5/D5</f>
        <v>0.11114385964912281</v>
      </c>
      <c r="G5" s="16">
        <f t="shared" ref="G5:G7" si="1">B5/C5</f>
        <v>9.8987500000000006E-2</v>
      </c>
      <c r="H5" s="16">
        <f>(E5-E4)/E5*100</f>
        <v>8</v>
      </c>
    </row>
    <row r="6" spans="1:8" x14ac:dyDescent="0.5">
      <c r="A6" s="14">
        <v>2023</v>
      </c>
      <c r="B6" s="15">
        <v>50232</v>
      </c>
      <c r="C6" s="14">
        <v>370000</v>
      </c>
      <c r="D6" s="14">
        <v>310000</v>
      </c>
      <c r="E6" s="14">
        <v>2700000</v>
      </c>
      <c r="F6" s="16">
        <f t="shared" si="0"/>
        <v>0.16203870967741935</v>
      </c>
      <c r="G6" s="16">
        <f t="shared" si="1"/>
        <v>0.13576216216216216</v>
      </c>
      <c r="H6" s="16">
        <f t="shared" ref="H6:H7" si="2">(E6-E5)/E6*100</f>
        <v>7.4074074074074066</v>
      </c>
    </row>
    <row r="7" spans="1:8" x14ac:dyDescent="0.5">
      <c r="A7" s="14">
        <v>2024</v>
      </c>
      <c r="B7" s="15">
        <v>61077</v>
      </c>
      <c r="C7" s="14">
        <v>405000</v>
      </c>
      <c r="D7" s="14">
        <v>350000</v>
      </c>
      <c r="E7" s="14">
        <v>3000000</v>
      </c>
      <c r="F7" s="16">
        <f t="shared" si="0"/>
        <v>0.17450571428571429</v>
      </c>
      <c r="G7" s="16">
        <f t="shared" si="1"/>
        <v>0.15080740740740742</v>
      </c>
      <c r="H7" s="16">
        <f t="shared" si="2"/>
        <v>10</v>
      </c>
    </row>
  </sheetData>
  <mergeCells count="1">
    <mergeCell ref="B1: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B788-093A-48EA-AB2D-A769D7AA3641}">
  <dimension ref="A1:I13"/>
  <sheetViews>
    <sheetView workbookViewId="0">
      <selection sqref="A3:H7"/>
    </sheetView>
  </sheetViews>
  <sheetFormatPr defaultRowHeight="18" x14ac:dyDescent="0.5"/>
  <cols>
    <col min="1" max="1" width="11.77734375" customWidth="1"/>
    <col min="4" max="4" width="10.21875" customWidth="1"/>
    <col min="6" max="6" width="9.88671875" customWidth="1"/>
    <col min="8" max="8" width="14" customWidth="1"/>
    <col min="9" max="9" width="14.109375" customWidth="1"/>
  </cols>
  <sheetData>
    <row r="1" spans="1:9" x14ac:dyDescent="0.5">
      <c r="A1" t="s">
        <v>9</v>
      </c>
      <c r="B1" s="1" t="s">
        <v>0</v>
      </c>
      <c r="C1" s="1" t="s">
        <v>1</v>
      </c>
      <c r="D1" s="1" t="s">
        <v>2</v>
      </c>
      <c r="E1" s="1" t="s">
        <v>3</v>
      </c>
      <c r="F1" s="1" t="s">
        <v>4</v>
      </c>
      <c r="G1" s="1" t="s">
        <v>6</v>
      </c>
      <c r="H1" s="1" t="s">
        <v>7</v>
      </c>
      <c r="I1" s="1" t="s">
        <v>8</v>
      </c>
    </row>
    <row r="2" spans="1:9" x14ac:dyDescent="0.5">
      <c r="A2" t="s">
        <v>10</v>
      </c>
      <c r="B2" s="2">
        <v>2021</v>
      </c>
      <c r="C2" s="3">
        <v>31857</v>
      </c>
      <c r="D2" s="2">
        <v>128552</v>
      </c>
      <c r="E2" s="2">
        <v>213000</v>
      </c>
      <c r="F2" s="2">
        <v>1132837</v>
      </c>
      <c r="G2">
        <f>C2/E2</f>
        <v>0.14956338028169014</v>
      </c>
      <c r="H2">
        <f>C2/D2</f>
        <v>0.2478141141328023</v>
      </c>
    </row>
    <row r="3" spans="1:9" x14ac:dyDescent="0.5">
      <c r="A3" t="s">
        <v>10</v>
      </c>
      <c r="B3" s="2">
        <v>2022</v>
      </c>
      <c r="C3" s="3">
        <v>38151</v>
      </c>
      <c r="D3" s="2">
        <v>135936</v>
      </c>
      <c r="E3" s="2">
        <v>240000</v>
      </c>
      <c r="F3" s="2">
        <v>1368821</v>
      </c>
      <c r="G3">
        <f>C3/E3</f>
        <v>0.15896250000000001</v>
      </c>
      <c r="H3">
        <f t="shared" ref="H3:H5" si="0">C3/D3</f>
        <v>0.2806541313559322</v>
      </c>
      <c r="I3">
        <f>(F3-F2)/F3*100</f>
        <v>17.239945909655098</v>
      </c>
    </row>
    <row r="4" spans="1:9" x14ac:dyDescent="0.5">
      <c r="A4" t="s">
        <v>10</v>
      </c>
      <c r="B4" s="2">
        <v>2023</v>
      </c>
      <c r="C4" s="3">
        <v>44108</v>
      </c>
      <c r="D4" s="2">
        <v>160910</v>
      </c>
      <c r="E4" s="2">
        <v>270000</v>
      </c>
      <c r="F4" s="2">
        <v>1600586</v>
      </c>
      <c r="G4">
        <f>C4/E4</f>
        <v>0.16336296296296296</v>
      </c>
      <c r="H4">
        <f t="shared" si="0"/>
        <v>0.27411596544652289</v>
      </c>
      <c r="I4">
        <f t="shared" ref="I4:I5" si="1">(F4-F3)/F4*100</f>
        <v>14.480009196631732</v>
      </c>
    </row>
    <row r="5" spans="1:9" x14ac:dyDescent="0.5">
      <c r="A5" t="s">
        <v>10</v>
      </c>
      <c r="B5" s="2">
        <v>2024</v>
      </c>
      <c r="C5" s="3">
        <v>60810</v>
      </c>
      <c r="D5" s="2">
        <v>195000</v>
      </c>
      <c r="E5" s="2">
        <v>320000</v>
      </c>
      <c r="F5" s="3">
        <v>25078000</v>
      </c>
      <c r="G5">
        <f>C5/E5</f>
        <v>0.19003125000000001</v>
      </c>
      <c r="H5">
        <f t="shared" si="0"/>
        <v>0.31184615384615383</v>
      </c>
      <c r="I5">
        <f t="shared" si="1"/>
        <v>93.617569184145466</v>
      </c>
    </row>
    <row r="6" spans="1:9" x14ac:dyDescent="0.5">
      <c r="A6" t="s">
        <v>5</v>
      </c>
      <c r="B6" s="2">
        <v>2021</v>
      </c>
      <c r="C6" s="3">
        <v>16193</v>
      </c>
      <c r="D6" s="2">
        <v>106902</v>
      </c>
      <c r="E6" s="2">
        <v>147509</v>
      </c>
      <c r="F6" s="2">
        <v>733729</v>
      </c>
      <c r="G6">
        <f>C6/E6</f>
        <v>0.10977635262933109</v>
      </c>
      <c r="H6">
        <f>C6/D6</f>
        <v>0.15147518287777589</v>
      </c>
    </row>
    <row r="7" spans="1:9" x14ac:dyDescent="0.5">
      <c r="A7" t="s">
        <v>5</v>
      </c>
      <c r="B7" s="2">
        <v>2022</v>
      </c>
      <c r="C7" s="3">
        <v>25110</v>
      </c>
      <c r="D7" s="2">
        <v>121236</v>
      </c>
      <c r="E7" s="2">
        <v>170512</v>
      </c>
      <c r="F7" s="2">
        <v>859020</v>
      </c>
      <c r="G7">
        <f t="shared" ref="G7:G9" si="2">C7/E7</f>
        <v>0.14726236276625693</v>
      </c>
      <c r="H7">
        <f t="shared" ref="H7:H9" si="3">C7/D7</f>
        <v>0.20711669801049193</v>
      </c>
      <c r="I7">
        <f>(F7-F6)/F7*100</f>
        <v>14.585341435589392</v>
      </c>
    </row>
    <row r="8" spans="1:9" x14ac:dyDescent="0.5">
      <c r="A8" t="s">
        <v>5</v>
      </c>
      <c r="B8" s="2">
        <v>2023</v>
      </c>
      <c r="C8" s="3">
        <v>34037</v>
      </c>
      <c r="D8" s="2">
        <v>139000</v>
      </c>
      <c r="E8" s="2">
        <v>200175</v>
      </c>
      <c r="F8" s="2">
        <v>1019638</v>
      </c>
      <c r="G8">
        <f t="shared" si="2"/>
        <v>0.17003621830897964</v>
      </c>
      <c r="H8">
        <f t="shared" si="3"/>
        <v>0.24487050359712231</v>
      </c>
      <c r="I8">
        <f t="shared" ref="I8:I9" si="4">(F8-F7)/F8*100</f>
        <v>15.752453321669064</v>
      </c>
    </row>
    <row r="9" spans="1:9" x14ac:dyDescent="0.5">
      <c r="A9" t="s">
        <v>5</v>
      </c>
      <c r="B9" s="2">
        <v>2024</v>
      </c>
      <c r="C9" s="3">
        <v>40888</v>
      </c>
      <c r="D9" s="2">
        <v>155000</v>
      </c>
      <c r="E9" s="2">
        <v>238399</v>
      </c>
      <c r="F9" s="2">
        <v>1184406</v>
      </c>
      <c r="G9">
        <f t="shared" si="2"/>
        <v>0.17151078653853413</v>
      </c>
      <c r="H9">
        <f t="shared" si="3"/>
        <v>0.26379354838709679</v>
      </c>
      <c r="I9">
        <f t="shared" si="4"/>
        <v>13.911445906217971</v>
      </c>
    </row>
    <row r="10" spans="1:9" x14ac:dyDescent="0.5">
      <c r="A10" t="s">
        <v>11</v>
      </c>
      <c r="B10" s="2">
        <v>2021</v>
      </c>
      <c r="C10" s="3">
        <v>20410</v>
      </c>
      <c r="D10" s="2">
        <v>296000</v>
      </c>
      <c r="E10" s="2">
        <v>265000</v>
      </c>
      <c r="F10" s="2">
        <v>2300000</v>
      </c>
      <c r="G10">
        <f>C10/E10</f>
        <v>7.7018867924528306E-2</v>
      </c>
      <c r="H10">
        <f>C10/D10</f>
        <v>6.8952702702702706E-2</v>
      </c>
    </row>
    <row r="11" spans="1:9" x14ac:dyDescent="0.5">
      <c r="A11" t="s">
        <v>11</v>
      </c>
      <c r="B11" s="2">
        <v>2022</v>
      </c>
      <c r="C11" s="3">
        <v>31676</v>
      </c>
      <c r="D11" s="2">
        <v>320000</v>
      </c>
      <c r="E11" s="2">
        <v>285000</v>
      </c>
      <c r="F11" s="2">
        <v>2500000</v>
      </c>
      <c r="G11">
        <f t="shared" ref="G11:G13" si="5">C11/E11</f>
        <v>0.11114385964912281</v>
      </c>
      <c r="H11">
        <f t="shared" ref="H11:H13" si="6">C11/D11</f>
        <v>9.8987500000000006E-2</v>
      </c>
      <c r="I11">
        <f>(F11-F10)/F11*100</f>
        <v>8</v>
      </c>
    </row>
    <row r="12" spans="1:9" x14ac:dyDescent="0.5">
      <c r="A12" t="s">
        <v>11</v>
      </c>
      <c r="B12" s="2">
        <v>2023</v>
      </c>
      <c r="C12" s="3">
        <v>50232</v>
      </c>
      <c r="D12" s="2">
        <v>370000</v>
      </c>
      <c r="E12" s="2">
        <v>310000</v>
      </c>
      <c r="F12" s="2">
        <v>2700000</v>
      </c>
      <c r="G12">
        <f t="shared" si="5"/>
        <v>0.16203870967741935</v>
      </c>
      <c r="H12">
        <f t="shared" si="6"/>
        <v>0.13576216216216216</v>
      </c>
      <c r="I12">
        <f t="shared" ref="I12:I13" si="7">(F12-F11)/F12*100</f>
        <v>7.4074074074074066</v>
      </c>
    </row>
    <row r="13" spans="1:9" x14ac:dyDescent="0.5">
      <c r="A13" t="s">
        <v>11</v>
      </c>
      <c r="B13" s="2">
        <v>2024</v>
      </c>
      <c r="C13" s="3">
        <v>61077</v>
      </c>
      <c r="D13" s="2">
        <v>405000</v>
      </c>
      <c r="E13" s="2">
        <v>350000</v>
      </c>
      <c r="F13" s="2">
        <v>3000000</v>
      </c>
      <c r="G13">
        <f t="shared" si="5"/>
        <v>0.17450571428571429</v>
      </c>
      <c r="H13">
        <f t="shared" si="6"/>
        <v>0.15080740740740742</v>
      </c>
      <c r="I13">
        <f t="shared" si="7"/>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F57B-3E45-4F78-AA66-4BB211A557D1}">
  <dimension ref="A1:G73"/>
  <sheetViews>
    <sheetView topLeftCell="A7" workbookViewId="0">
      <selection activeCell="C7" sqref="C7"/>
    </sheetView>
  </sheetViews>
  <sheetFormatPr defaultRowHeight="14.4" x14ac:dyDescent="0.5"/>
  <cols>
    <col min="1" max="1" width="16.44140625" customWidth="1"/>
    <col min="4" max="4" width="9.88671875" customWidth="1"/>
    <col min="7" max="7" width="9.88671875" customWidth="1"/>
  </cols>
  <sheetData>
    <row r="1" spans="1:7" ht="18" x14ac:dyDescent="0.5">
      <c r="A1" t="s">
        <v>9</v>
      </c>
      <c r="B1" t="s">
        <v>0</v>
      </c>
      <c r="C1" t="s">
        <v>12</v>
      </c>
      <c r="D1" t="s">
        <v>13</v>
      </c>
    </row>
    <row r="2" spans="1:7" ht="18" x14ac:dyDescent="0.5">
      <c r="A2" t="s">
        <v>10</v>
      </c>
      <c r="B2">
        <v>2021</v>
      </c>
      <c r="C2" t="s">
        <v>1</v>
      </c>
      <c r="D2" s="3">
        <v>31857</v>
      </c>
      <c r="E2" s="2"/>
      <c r="F2" s="2"/>
      <c r="G2" s="2"/>
    </row>
    <row r="3" spans="1:7" ht="18" x14ac:dyDescent="0.5">
      <c r="A3" t="s">
        <v>10</v>
      </c>
      <c r="B3">
        <v>2021</v>
      </c>
      <c r="C3" t="s">
        <v>2</v>
      </c>
      <c r="D3">
        <v>128552</v>
      </c>
    </row>
    <row r="4" spans="1:7" ht="18" x14ac:dyDescent="0.5">
      <c r="A4" t="s">
        <v>10</v>
      </c>
      <c r="B4">
        <v>2021</v>
      </c>
      <c r="C4" t="s">
        <v>14</v>
      </c>
      <c r="D4">
        <v>1132837</v>
      </c>
    </row>
    <row r="5" spans="1:7" ht="18" x14ac:dyDescent="0.5">
      <c r="A5" t="s">
        <v>10</v>
      </c>
      <c r="B5">
        <v>2021</v>
      </c>
      <c r="C5" t="s">
        <v>6</v>
      </c>
      <c r="D5">
        <v>0.149563</v>
      </c>
    </row>
    <row r="6" spans="1:7" ht="18" x14ac:dyDescent="0.5">
      <c r="A6" t="s">
        <v>10</v>
      </c>
      <c r="B6">
        <v>2021</v>
      </c>
      <c r="C6" t="s">
        <v>15</v>
      </c>
      <c r="D6">
        <v>0.24781400000000001</v>
      </c>
    </row>
    <row r="7" spans="1:7" ht="18" x14ac:dyDescent="0.5">
      <c r="A7" t="s">
        <v>10</v>
      </c>
      <c r="B7">
        <v>2021</v>
      </c>
      <c r="C7" t="s">
        <v>16</v>
      </c>
    </row>
    <row r="8" spans="1:7" ht="18" x14ac:dyDescent="0.5">
      <c r="A8" t="s">
        <v>10</v>
      </c>
      <c r="B8">
        <v>2022</v>
      </c>
      <c r="C8" t="s">
        <v>1</v>
      </c>
      <c r="D8" s="3">
        <v>38151</v>
      </c>
      <c r="E8" s="2"/>
      <c r="F8" s="2"/>
      <c r="G8" s="2"/>
    </row>
    <row r="9" spans="1:7" ht="18" x14ac:dyDescent="0.5">
      <c r="A9" t="s">
        <v>10</v>
      </c>
      <c r="B9">
        <v>2022</v>
      </c>
      <c r="C9" t="s">
        <v>2</v>
      </c>
      <c r="D9" s="2">
        <v>135936</v>
      </c>
    </row>
    <row r="10" spans="1:7" ht="18" x14ac:dyDescent="0.5">
      <c r="A10" t="s">
        <v>10</v>
      </c>
      <c r="B10">
        <v>2022</v>
      </c>
      <c r="C10" t="s">
        <v>14</v>
      </c>
      <c r="D10" s="2">
        <v>1368821</v>
      </c>
    </row>
    <row r="11" spans="1:7" ht="18" x14ac:dyDescent="0.5">
      <c r="A11" t="s">
        <v>10</v>
      </c>
      <c r="B11">
        <v>2022</v>
      </c>
      <c r="C11" t="s">
        <v>6</v>
      </c>
      <c r="D11">
        <v>0.15896299999999999</v>
      </c>
    </row>
    <row r="12" spans="1:7" ht="18" x14ac:dyDescent="0.5">
      <c r="A12" t="s">
        <v>10</v>
      </c>
      <c r="B12">
        <v>2022</v>
      </c>
      <c r="C12" t="s">
        <v>15</v>
      </c>
      <c r="D12">
        <v>0.28065400000000001</v>
      </c>
    </row>
    <row r="13" spans="1:7" ht="18" x14ac:dyDescent="0.5">
      <c r="A13" t="s">
        <v>10</v>
      </c>
      <c r="B13">
        <v>2022</v>
      </c>
      <c r="C13" t="s">
        <v>16</v>
      </c>
      <c r="D13">
        <v>17.23995</v>
      </c>
    </row>
    <row r="14" spans="1:7" ht="18" x14ac:dyDescent="0.5">
      <c r="A14" t="s">
        <v>10</v>
      </c>
      <c r="B14">
        <v>2023</v>
      </c>
      <c r="C14" t="s">
        <v>1</v>
      </c>
      <c r="D14" s="3">
        <v>44108</v>
      </c>
      <c r="E14" s="2"/>
      <c r="F14" s="2"/>
      <c r="G14" s="2"/>
    </row>
    <row r="15" spans="1:7" ht="18" x14ac:dyDescent="0.5">
      <c r="A15" t="s">
        <v>10</v>
      </c>
      <c r="B15">
        <v>2023</v>
      </c>
      <c r="C15" t="s">
        <v>2</v>
      </c>
      <c r="D15" s="2">
        <v>160910</v>
      </c>
    </row>
    <row r="16" spans="1:7" ht="18" x14ac:dyDescent="0.5">
      <c r="A16" t="s">
        <v>10</v>
      </c>
      <c r="B16">
        <v>2023</v>
      </c>
      <c r="C16" t="s">
        <v>14</v>
      </c>
      <c r="D16" s="2">
        <v>160910</v>
      </c>
    </row>
    <row r="17" spans="1:7" ht="18" x14ac:dyDescent="0.5">
      <c r="A17" t="s">
        <v>10</v>
      </c>
      <c r="B17">
        <v>2023</v>
      </c>
      <c r="C17" t="s">
        <v>6</v>
      </c>
      <c r="D17">
        <v>0.16336300000000001</v>
      </c>
    </row>
    <row r="18" spans="1:7" ht="18" x14ac:dyDescent="0.5">
      <c r="A18" t="s">
        <v>10</v>
      </c>
      <c r="B18">
        <v>2023</v>
      </c>
      <c r="C18" t="s">
        <v>15</v>
      </c>
      <c r="D18">
        <v>0.27411600000000003</v>
      </c>
    </row>
    <row r="19" spans="1:7" ht="18" x14ac:dyDescent="0.5">
      <c r="A19" t="s">
        <v>10</v>
      </c>
      <c r="B19">
        <v>2023</v>
      </c>
      <c r="C19" t="s">
        <v>16</v>
      </c>
      <c r="D19">
        <v>14.48001</v>
      </c>
    </row>
    <row r="20" spans="1:7" ht="18" x14ac:dyDescent="0.5">
      <c r="A20" t="s">
        <v>10</v>
      </c>
      <c r="B20">
        <v>2024</v>
      </c>
      <c r="C20" t="s">
        <v>1</v>
      </c>
      <c r="D20" s="3">
        <v>60810</v>
      </c>
      <c r="E20" s="2"/>
      <c r="F20" s="2"/>
      <c r="G20" s="3"/>
    </row>
    <row r="21" spans="1:7" ht="18" x14ac:dyDescent="0.5">
      <c r="A21" t="s">
        <v>10</v>
      </c>
      <c r="B21">
        <v>2024</v>
      </c>
      <c r="C21" t="s">
        <v>2</v>
      </c>
      <c r="D21" s="2">
        <v>195000</v>
      </c>
    </row>
    <row r="22" spans="1:7" ht="18" x14ac:dyDescent="0.5">
      <c r="A22" t="s">
        <v>10</v>
      </c>
      <c r="B22">
        <v>2024</v>
      </c>
      <c r="C22" t="s">
        <v>14</v>
      </c>
      <c r="D22" s="3">
        <v>25078000</v>
      </c>
    </row>
    <row r="23" spans="1:7" ht="18" x14ac:dyDescent="0.5">
      <c r="A23" t="s">
        <v>10</v>
      </c>
      <c r="B23">
        <v>2024</v>
      </c>
      <c r="C23" t="s">
        <v>6</v>
      </c>
      <c r="D23">
        <v>0.19003100000000001</v>
      </c>
    </row>
    <row r="24" spans="1:7" ht="18" x14ac:dyDescent="0.5">
      <c r="A24" t="s">
        <v>10</v>
      </c>
      <c r="B24">
        <v>2024</v>
      </c>
      <c r="C24" t="s">
        <v>15</v>
      </c>
      <c r="D24">
        <v>0.31184600000000001</v>
      </c>
    </row>
    <row r="25" spans="1:7" ht="18" x14ac:dyDescent="0.5">
      <c r="A25" t="s">
        <v>10</v>
      </c>
      <c r="B25">
        <v>2024</v>
      </c>
      <c r="C25" t="s">
        <v>16</v>
      </c>
      <c r="D25">
        <v>93.617570000000001</v>
      </c>
    </row>
    <row r="26" spans="1:7" ht="18" x14ac:dyDescent="0.5">
      <c r="A26" t="s">
        <v>5</v>
      </c>
      <c r="B26">
        <v>2021</v>
      </c>
      <c r="C26" t="s">
        <v>1</v>
      </c>
      <c r="D26" s="3">
        <v>16193</v>
      </c>
      <c r="E26" s="2"/>
      <c r="F26" s="2"/>
      <c r="G26" s="2"/>
    </row>
    <row r="27" spans="1:7" ht="18" x14ac:dyDescent="0.5">
      <c r="A27" t="s">
        <v>5</v>
      </c>
      <c r="B27">
        <v>2021</v>
      </c>
      <c r="C27" t="s">
        <v>2</v>
      </c>
      <c r="D27" s="2">
        <v>106902</v>
      </c>
    </row>
    <row r="28" spans="1:7" ht="18" x14ac:dyDescent="0.5">
      <c r="A28" t="s">
        <v>5</v>
      </c>
      <c r="B28">
        <v>2021</v>
      </c>
      <c r="C28" t="s">
        <v>14</v>
      </c>
      <c r="D28" s="2">
        <v>106902</v>
      </c>
    </row>
    <row r="29" spans="1:7" ht="18" x14ac:dyDescent="0.5">
      <c r="A29" t="s">
        <v>5</v>
      </c>
      <c r="B29">
        <v>2021</v>
      </c>
      <c r="C29" t="s">
        <v>6</v>
      </c>
      <c r="D29">
        <v>0.109776</v>
      </c>
    </row>
    <row r="30" spans="1:7" ht="18" x14ac:dyDescent="0.5">
      <c r="A30" t="s">
        <v>5</v>
      </c>
      <c r="B30">
        <v>2021</v>
      </c>
      <c r="C30" t="s">
        <v>15</v>
      </c>
      <c r="D30">
        <v>0.151475</v>
      </c>
    </row>
    <row r="31" spans="1:7" ht="18" x14ac:dyDescent="0.5">
      <c r="A31" t="s">
        <v>5</v>
      </c>
      <c r="B31">
        <v>2021</v>
      </c>
      <c r="C31" t="s">
        <v>16</v>
      </c>
    </row>
    <row r="32" spans="1:7" ht="18" x14ac:dyDescent="0.5">
      <c r="A32" t="s">
        <v>5</v>
      </c>
      <c r="B32">
        <v>2022</v>
      </c>
      <c r="C32" t="s">
        <v>1</v>
      </c>
      <c r="D32" s="3">
        <v>25110</v>
      </c>
      <c r="E32" s="2"/>
      <c r="F32" s="2"/>
      <c r="G32" s="2"/>
    </row>
    <row r="33" spans="1:7" ht="18" x14ac:dyDescent="0.5">
      <c r="A33" t="s">
        <v>5</v>
      </c>
      <c r="B33">
        <v>2022</v>
      </c>
      <c r="C33" t="s">
        <v>2</v>
      </c>
      <c r="D33" s="2">
        <v>121236</v>
      </c>
    </row>
    <row r="34" spans="1:7" ht="18" x14ac:dyDescent="0.5">
      <c r="A34" t="s">
        <v>5</v>
      </c>
      <c r="B34">
        <v>2022</v>
      </c>
      <c r="C34" t="s">
        <v>14</v>
      </c>
      <c r="D34" s="2">
        <v>859020</v>
      </c>
    </row>
    <row r="35" spans="1:7" ht="18" x14ac:dyDescent="0.5">
      <c r="A35" t="s">
        <v>5</v>
      </c>
      <c r="B35">
        <v>2022</v>
      </c>
      <c r="C35" t="s">
        <v>6</v>
      </c>
      <c r="D35">
        <v>0.147262</v>
      </c>
    </row>
    <row r="36" spans="1:7" ht="18" x14ac:dyDescent="0.5">
      <c r="A36" t="s">
        <v>5</v>
      </c>
      <c r="B36">
        <v>2022</v>
      </c>
      <c r="C36" t="s">
        <v>15</v>
      </c>
      <c r="D36">
        <v>0.207117</v>
      </c>
    </row>
    <row r="37" spans="1:7" ht="18" x14ac:dyDescent="0.5">
      <c r="A37" t="s">
        <v>5</v>
      </c>
      <c r="B37">
        <v>2022</v>
      </c>
      <c r="C37" t="s">
        <v>16</v>
      </c>
      <c r="D37">
        <v>14.58534</v>
      </c>
    </row>
    <row r="38" spans="1:7" ht="18" x14ac:dyDescent="0.5">
      <c r="A38" t="s">
        <v>5</v>
      </c>
      <c r="B38">
        <v>2023</v>
      </c>
      <c r="C38" t="s">
        <v>1</v>
      </c>
      <c r="D38" s="3">
        <v>34037</v>
      </c>
      <c r="E38" s="2"/>
      <c r="F38" s="2"/>
      <c r="G38" s="2"/>
    </row>
    <row r="39" spans="1:7" ht="18" x14ac:dyDescent="0.5">
      <c r="A39" t="s">
        <v>5</v>
      </c>
      <c r="B39">
        <v>2023</v>
      </c>
      <c r="C39" t="s">
        <v>2</v>
      </c>
      <c r="D39" s="2">
        <v>139000</v>
      </c>
    </row>
    <row r="40" spans="1:7" ht="18" x14ac:dyDescent="0.5">
      <c r="A40" t="s">
        <v>5</v>
      </c>
      <c r="B40">
        <v>2023</v>
      </c>
      <c r="C40" t="s">
        <v>14</v>
      </c>
      <c r="D40" s="2">
        <v>1019638</v>
      </c>
    </row>
    <row r="41" spans="1:7" ht="18" x14ac:dyDescent="0.5">
      <c r="A41" t="s">
        <v>5</v>
      </c>
      <c r="B41">
        <v>2023</v>
      </c>
      <c r="C41" t="s">
        <v>6</v>
      </c>
      <c r="D41">
        <v>0.17003599999999999</v>
      </c>
    </row>
    <row r="42" spans="1:7" ht="18" x14ac:dyDescent="0.5">
      <c r="A42" t="s">
        <v>5</v>
      </c>
      <c r="B42">
        <v>2023</v>
      </c>
      <c r="C42" t="s">
        <v>15</v>
      </c>
      <c r="D42">
        <v>0.24487100000000001</v>
      </c>
    </row>
    <row r="43" spans="1:7" ht="18" x14ac:dyDescent="0.5">
      <c r="A43" t="s">
        <v>5</v>
      </c>
      <c r="B43">
        <v>2023</v>
      </c>
      <c r="C43" t="s">
        <v>16</v>
      </c>
      <c r="D43">
        <v>15.75245</v>
      </c>
    </row>
    <row r="44" spans="1:7" ht="18" x14ac:dyDescent="0.5">
      <c r="A44" t="s">
        <v>5</v>
      </c>
      <c r="B44">
        <v>2024</v>
      </c>
      <c r="C44" t="s">
        <v>1</v>
      </c>
      <c r="D44" s="3">
        <v>40888</v>
      </c>
      <c r="E44" s="2"/>
      <c r="F44" s="2"/>
      <c r="G44" s="2"/>
    </row>
    <row r="45" spans="1:7" ht="18" x14ac:dyDescent="0.5">
      <c r="A45" t="s">
        <v>5</v>
      </c>
      <c r="B45">
        <v>2024</v>
      </c>
      <c r="C45" t="s">
        <v>2</v>
      </c>
      <c r="D45" s="2">
        <v>155000</v>
      </c>
    </row>
    <row r="46" spans="1:7" ht="18" x14ac:dyDescent="0.5">
      <c r="A46" t="s">
        <v>5</v>
      </c>
      <c r="B46">
        <v>2024</v>
      </c>
      <c r="C46" t="s">
        <v>14</v>
      </c>
      <c r="D46" s="2">
        <v>1184406</v>
      </c>
    </row>
    <row r="47" spans="1:7" ht="18" x14ac:dyDescent="0.5">
      <c r="A47" t="s">
        <v>5</v>
      </c>
      <c r="B47">
        <v>2024</v>
      </c>
      <c r="C47" t="s">
        <v>6</v>
      </c>
      <c r="D47">
        <v>0.171511</v>
      </c>
    </row>
    <row r="48" spans="1:7" ht="18" x14ac:dyDescent="0.5">
      <c r="A48" t="s">
        <v>5</v>
      </c>
      <c r="B48">
        <v>2024</v>
      </c>
      <c r="C48" t="s">
        <v>15</v>
      </c>
      <c r="D48">
        <v>0.26379399999999997</v>
      </c>
    </row>
    <row r="49" spans="1:7" ht="18" x14ac:dyDescent="0.5">
      <c r="A49" t="s">
        <v>5</v>
      </c>
      <c r="B49">
        <v>2024</v>
      </c>
      <c r="C49" t="s">
        <v>16</v>
      </c>
      <c r="D49">
        <v>13.91145</v>
      </c>
    </row>
    <row r="50" spans="1:7" ht="18" x14ac:dyDescent="0.5">
      <c r="A50" t="s">
        <v>17</v>
      </c>
      <c r="B50">
        <v>2021</v>
      </c>
      <c r="C50" t="s">
        <v>1</v>
      </c>
      <c r="D50" s="3">
        <v>20410</v>
      </c>
      <c r="E50" s="2"/>
      <c r="F50" s="2"/>
      <c r="G50" s="2"/>
    </row>
    <row r="51" spans="1:7" ht="18" x14ac:dyDescent="0.5">
      <c r="A51" t="s">
        <v>17</v>
      </c>
      <c r="B51">
        <v>2021</v>
      </c>
      <c r="C51" t="s">
        <v>2</v>
      </c>
      <c r="D51" s="2">
        <v>296000</v>
      </c>
    </row>
    <row r="52" spans="1:7" ht="18" x14ac:dyDescent="0.5">
      <c r="A52" t="s">
        <v>17</v>
      </c>
      <c r="B52">
        <v>2021</v>
      </c>
      <c r="C52" t="s">
        <v>14</v>
      </c>
      <c r="D52" s="2">
        <v>2300000</v>
      </c>
    </row>
    <row r="53" spans="1:7" ht="18" x14ac:dyDescent="0.5">
      <c r="A53" t="s">
        <v>17</v>
      </c>
      <c r="B53">
        <v>2021</v>
      </c>
      <c r="C53" t="s">
        <v>6</v>
      </c>
      <c r="D53">
        <v>7.7019000000000004E-2</v>
      </c>
    </row>
    <row r="54" spans="1:7" ht="18" x14ac:dyDescent="0.5">
      <c r="A54" t="s">
        <v>17</v>
      </c>
      <c r="B54">
        <v>2021</v>
      </c>
      <c r="C54" t="s">
        <v>15</v>
      </c>
      <c r="D54">
        <v>6.8953E-2</v>
      </c>
    </row>
    <row r="55" spans="1:7" ht="18" x14ac:dyDescent="0.5">
      <c r="A55" t="s">
        <v>17</v>
      </c>
      <c r="B55">
        <v>2021</v>
      </c>
      <c r="C55" t="s">
        <v>16</v>
      </c>
    </row>
    <row r="56" spans="1:7" ht="18" x14ac:dyDescent="0.5">
      <c r="A56" t="s">
        <v>17</v>
      </c>
      <c r="B56">
        <v>2022</v>
      </c>
      <c r="C56" t="s">
        <v>1</v>
      </c>
      <c r="D56" s="3">
        <v>31676</v>
      </c>
      <c r="E56" s="2"/>
      <c r="F56" s="2"/>
      <c r="G56" s="2"/>
    </row>
    <row r="57" spans="1:7" ht="18" x14ac:dyDescent="0.5">
      <c r="A57" t="s">
        <v>17</v>
      </c>
      <c r="B57">
        <v>2022</v>
      </c>
      <c r="C57" t="s">
        <v>2</v>
      </c>
      <c r="D57" s="2">
        <v>320000</v>
      </c>
    </row>
    <row r="58" spans="1:7" ht="18" x14ac:dyDescent="0.5">
      <c r="A58" t="s">
        <v>17</v>
      </c>
      <c r="B58">
        <v>2022</v>
      </c>
      <c r="C58" t="s">
        <v>14</v>
      </c>
      <c r="D58" s="2">
        <v>2500000</v>
      </c>
    </row>
    <row r="59" spans="1:7" ht="18" x14ac:dyDescent="0.5">
      <c r="A59" t="s">
        <v>17</v>
      </c>
      <c r="B59">
        <v>2022</v>
      </c>
      <c r="C59" t="s">
        <v>6</v>
      </c>
      <c r="D59">
        <v>0.11114400000000001</v>
      </c>
    </row>
    <row r="60" spans="1:7" ht="18" x14ac:dyDescent="0.5">
      <c r="A60" t="s">
        <v>17</v>
      </c>
      <c r="B60">
        <v>2022</v>
      </c>
      <c r="C60" t="s">
        <v>15</v>
      </c>
      <c r="D60">
        <v>9.8988000000000007E-2</v>
      </c>
    </row>
    <row r="61" spans="1:7" ht="18" x14ac:dyDescent="0.5">
      <c r="A61" t="s">
        <v>17</v>
      </c>
      <c r="B61">
        <v>2022</v>
      </c>
      <c r="C61" t="s">
        <v>16</v>
      </c>
      <c r="D61">
        <v>8</v>
      </c>
    </row>
    <row r="62" spans="1:7" ht="18" x14ac:dyDescent="0.5">
      <c r="A62" t="s">
        <v>17</v>
      </c>
      <c r="B62">
        <v>2023</v>
      </c>
      <c r="C62" t="s">
        <v>1</v>
      </c>
      <c r="D62" s="3">
        <v>50232</v>
      </c>
      <c r="E62" s="2"/>
      <c r="F62" s="2"/>
      <c r="G62" s="2"/>
    </row>
    <row r="63" spans="1:7" ht="18" x14ac:dyDescent="0.5">
      <c r="A63" t="s">
        <v>17</v>
      </c>
      <c r="B63">
        <v>2023</v>
      </c>
      <c r="C63" t="s">
        <v>2</v>
      </c>
      <c r="D63" s="2">
        <v>370000</v>
      </c>
    </row>
    <row r="64" spans="1:7" ht="18" x14ac:dyDescent="0.5">
      <c r="A64" t="s">
        <v>17</v>
      </c>
      <c r="B64">
        <v>2023</v>
      </c>
      <c r="C64" t="s">
        <v>14</v>
      </c>
      <c r="D64" s="2">
        <v>2700000</v>
      </c>
    </row>
    <row r="65" spans="1:7" ht="18" x14ac:dyDescent="0.5">
      <c r="A65" t="s">
        <v>17</v>
      </c>
      <c r="B65">
        <v>2023</v>
      </c>
      <c r="C65" t="s">
        <v>6</v>
      </c>
      <c r="D65">
        <v>0.16203899999999999</v>
      </c>
    </row>
    <row r="66" spans="1:7" ht="18" x14ac:dyDescent="0.5">
      <c r="A66" t="s">
        <v>17</v>
      </c>
      <c r="B66">
        <v>2023</v>
      </c>
      <c r="C66" t="s">
        <v>15</v>
      </c>
      <c r="D66">
        <v>0.13576199999999999</v>
      </c>
    </row>
    <row r="67" spans="1:7" ht="18" x14ac:dyDescent="0.5">
      <c r="A67" t="s">
        <v>17</v>
      </c>
      <c r="B67">
        <v>2023</v>
      </c>
      <c r="C67" t="s">
        <v>16</v>
      </c>
      <c r="D67">
        <v>7.4074070000000001</v>
      </c>
    </row>
    <row r="68" spans="1:7" ht="18" x14ac:dyDescent="0.5">
      <c r="A68" t="s">
        <v>17</v>
      </c>
      <c r="B68">
        <v>2024</v>
      </c>
      <c r="C68" t="s">
        <v>1</v>
      </c>
      <c r="D68" s="3">
        <v>61077</v>
      </c>
      <c r="E68" s="2"/>
      <c r="F68" s="2"/>
      <c r="G68" s="2"/>
    </row>
    <row r="69" spans="1:7" ht="18" x14ac:dyDescent="0.5">
      <c r="A69" t="s">
        <v>17</v>
      </c>
      <c r="B69">
        <v>2024</v>
      </c>
      <c r="C69" t="s">
        <v>2</v>
      </c>
      <c r="D69" s="2">
        <v>405000</v>
      </c>
    </row>
    <row r="70" spans="1:7" ht="18" x14ac:dyDescent="0.5">
      <c r="A70" t="s">
        <v>17</v>
      </c>
      <c r="B70">
        <v>2024</v>
      </c>
      <c r="C70" t="s">
        <v>14</v>
      </c>
      <c r="D70" s="2">
        <v>3000000</v>
      </c>
    </row>
    <row r="71" spans="1:7" ht="18" x14ac:dyDescent="0.5">
      <c r="A71" t="s">
        <v>17</v>
      </c>
      <c r="B71">
        <v>2024</v>
      </c>
      <c r="C71" t="s">
        <v>6</v>
      </c>
      <c r="D71">
        <v>0.17450599999999999</v>
      </c>
    </row>
    <row r="72" spans="1:7" ht="18" x14ac:dyDescent="0.5">
      <c r="A72" t="s">
        <v>17</v>
      </c>
      <c r="B72">
        <v>2024</v>
      </c>
      <c r="C72" t="s">
        <v>15</v>
      </c>
      <c r="D72">
        <v>0.150807</v>
      </c>
    </row>
    <row r="73" spans="1:7" ht="18" x14ac:dyDescent="0.5">
      <c r="A73" t="s">
        <v>17</v>
      </c>
      <c r="B73">
        <v>2024</v>
      </c>
      <c r="C73" t="s">
        <v>16</v>
      </c>
      <c r="D73">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30EFE-6AD8-4014-9D2F-85BF3D728A61}">
  <dimension ref="A1:E9"/>
  <sheetViews>
    <sheetView workbookViewId="0">
      <selection sqref="A3:H7"/>
    </sheetView>
  </sheetViews>
  <sheetFormatPr defaultRowHeight="18" x14ac:dyDescent="0.5"/>
  <cols>
    <col min="1" max="1" width="12.5546875" customWidth="1"/>
    <col min="2" max="2" width="15.5546875" customWidth="1"/>
    <col min="3" max="3" width="12" customWidth="1"/>
    <col min="4" max="4" width="17" customWidth="1"/>
    <col min="5" max="5" width="12" customWidth="1"/>
  </cols>
  <sheetData>
    <row r="1" spans="1:5" x14ac:dyDescent="0.5">
      <c r="A1" s="5" t="s">
        <v>12</v>
      </c>
      <c r="B1" t="s">
        <v>21</v>
      </c>
    </row>
    <row r="3" spans="1:5" x14ac:dyDescent="0.5">
      <c r="A3" s="5" t="s">
        <v>18</v>
      </c>
      <c r="B3" s="5" t="s">
        <v>22</v>
      </c>
    </row>
    <row r="4" spans="1:5" x14ac:dyDescent="0.5">
      <c r="A4" s="5" t="s">
        <v>19</v>
      </c>
      <c r="B4" t="s">
        <v>10</v>
      </c>
      <c r="C4" t="s">
        <v>5</v>
      </c>
      <c r="D4" t="s">
        <v>17</v>
      </c>
      <c r="E4" t="s">
        <v>20</v>
      </c>
    </row>
    <row r="5" spans="1:5" x14ac:dyDescent="0.5">
      <c r="A5" s="6">
        <v>2021</v>
      </c>
      <c r="B5" s="4">
        <v>1293246.397377</v>
      </c>
      <c r="C5" s="4">
        <v>229997.26125099999</v>
      </c>
      <c r="D5" s="4">
        <v>2616410.145972</v>
      </c>
      <c r="E5" s="4">
        <v>4139653.8045999999</v>
      </c>
    </row>
    <row r="6" spans="1:5" x14ac:dyDescent="0.5">
      <c r="A6" s="6">
        <v>2022</v>
      </c>
      <c r="B6" s="4">
        <v>1542925.6795669999</v>
      </c>
      <c r="C6" s="4">
        <v>1005380.939719</v>
      </c>
      <c r="D6" s="4">
        <v>2851684.210132</v>
      </c>
      <c r="E6" s="4">
        <v>5399990.8294179998</v>
      </c>
    </row>
    <row r="7" spans="1:5" x14ac:dyDescent="0.5">
      <c r="A7" s="6">
        <v>2023</v>
      </c>
      <c r="B7" s="4">
        <v>365942.91748900001</v>
      </c>
      <c r="C7" s="4">
        <v>1192691.1673570001</v>
      </c>
      <c r="D7" s="4">
        <v>3120239.7052080003</v>
      </c>
      <c r="E7" s="4">
        <v>4678873.7900540009</v>
      </c>
    </row>
    <row r="8" spans="1:5" x14ac:dyDescent="0.5">
      <c r="A8" s="6">
        <v>2024</v>
      </c>
      <c r="B8" s="4">
        <v>25333904.119447</v>
      </c>
      <c r="C8" s="4">
        <v>1380308.3467550001</v>
      </c>
      <c r="D8" s="4">
        <v>3466087.325313</v>
      </c>
      <c r="E8" s="4">
        <v>30180299.791515</v>
      </c>
    </row>
    <row r="9" spans="1:5" x14ac:dyDescent="0.5">
      <c r="A9" s="6" t="s">
        <v>20</v>
      </c>
      <c r="B9" s="4">
        <v>28536019.113880001</v>
      </c>
      <c r="C9" s="4">
        <v>3808377.715082</v>
      </c>
      <c r="D9" s="4">
        <v>12054421.386624999</v>
      </c>
      <c r="E9" s="4">
        <v>44398818.215587005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0C3D6-A9DF-4CD6-8C07-4B95555FA043}">
  <dimension ref="A1:E9"/>
  <sheetViews>
    <sheetView workbookViewId="0">
      <selection sqref="A3:H7"/>
    </sheetView>
  </sheetViews>
  <sheetFormatPr defaultRowHeight="18" x14ac:dyDescent="0.5"/>
  <cols>
    <col min="1" max="1" width="12.5546875" customWidth="1"/>
    <col min="2" max="2" width="15.5546875" customWidth="1"/>
    <col min="3" max="3" width="12" customWidth="1"/>
    <col min="4" max="4" width="17" customWidth="1"/>
    <col min="5" max="5" width="12" customWidth="1"/>
  </cols>
  <sheetData>
    <row r="1" spans="1:5" x14ac:dyDescent="0.5">
      <c r="A1" s="5" t="s">
        <v>12</v>
      </c>
      <c r="B1" t="s">
        <v>21</v>
      </c>
    </row>
    <row r="3" spans="1:5" x14ac:dyDescent="0.5">
      <c r="A3" s="5" t="s">
        <v>18</v>
      </c>
      <c r="B3" s="5" t="s">
        <v>22</v>
      </c>
    </row>
    <row r="4" spans="1:5" x14ac:dyDescent="0.5">
      <c r="A4" s="5" t="s">
        <v>19</v>
      </c>
      <c r="B4" t="s">
        <v>10</v>
      </c>
      <c r="C4" t="s">
        <v>5</v>
      </c>
      <c r="D4" t="s">
        <v>17</v>
      </c>
      <c r="E4" t="s">
        <v>20</v>
      </c>
    </row>
    <row r="5" spans="1:5" x14ac:dyDescent="0.5">
      <c r="A5" s="6">
        <v>2021</v>
      </c>
      <c r="B5" s="4">
        <v>1293246.397377</v>
      </c>
      <c r="C5" s="4">
        <v>229997.26125099999</v>
      </c>
      <c r="D5" s="4">
        <v>2616410.145972</v>
      </c>
      <c r="E5" s="4">
        <v>4139653.8045999999</v>
      </c>
    </row>
    <row r="6" spans="1:5" x14ac:dyDescent="0.5">
      <c r="A6" s="6">
        <v>2022</v>
      </c>
      <c r="B6" s="4">
        <v>1542925.6795669999</v>
      </c>
      <c r="C6" s="4">
        <v>1005380.939719</v>
      </c>
      <c r="D6" s="4">
        <v>2851684.210132</v>
      </c>
      <c r="E6" s="4">
        <v>5399990.8294179998</v>
      </c>
    </row>
    <row r="7" spans="1:5" x14ac:dyDescent="0.5">
      <c r="A7" s="6">
        <v>2023</v>
      </c>
      <c r="B7" s="4">
        <v>365942.91748900001</v>
      </c>
      <c r="C7" s="4">
        <v>1192691.1673570001</v>
      </c>
      <c r="D7" s="4">
        <v>3120239.7052080003</v>
      </c>
      <c r="E7" s="4">
        <v>4678873.7900540009</v>
      </c>
    </row>
    <row r="8" spans="1:5" x14ac:dyDescent="0.5">
      <c r="A8" s="6">
        <v>2024</v>
      </c>
      <c r="B8" s="4">
        <v>25333904.119447</v>
      </c>
      <c r="C8" s="4">
        <v>1380308.3467550001</v>
      </c>
      <c r="D8" s="4">
        <v>3466087.325313</v>
      </c>
      <c r="E8" s="4">
        <v>30180299.791515</v>
      </c>
    </row>
    <row r="9" spans="1:5" x14ac:dyDescent="0.5">
      <c r="A9" s="6" t="s">
        <v>20</v>
      </c>
      <c r="B9" s="4">
        <v>28536019.113880001</v>
      </c>
      <c r="C9" s="4">
        <v>3808377.715082</v>
      </c>
      <c r="D9" s="4">
        <v>12054421.386624999</v>
      </c>
      <c r="E9" s="4">
        <v>44398818.215587005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322B-5B22-42CE-BB27-24728FB7E648}">
  <dimension ref="A1:E9"/>
  <sheetViews>
    <sheetView workbookViewId="0">
      <selection activeCell="B14" sqref="B14"/>
    </sheetView>
  </sheetViews>
  <sheetFormatPr defaultRowHeight="18" x14ac:dyDescent="0.5"/>
  <cols>
    <col min="1" max="1" width="12.5546875" customWidth="1"/>
    <col min="2" max="2" width="15.5546875" customWidth="1"/>
    <col min="3" max="3" width="9" customWidth="1"/>
    <col min="4" max="4" width="17" customWidth="1"/>
    <col min="5" max="5" width="11" customWidth="1"/>
  </cols>
  <sheetData>
    <row r="1" spans="1:5" x14ac:dyDescent="0.5">
      <c r="A1" s="5" t="s">
        <v>12</v>
      </c>
      <c r="B1" t="s">
        <v>16</v>
      </c>
    </row>
    <row r="3" spans="1:5" x14ac:dyDescent="0.5">
      <c r="A3" s="5" t="s">
        <v>18</v>
      </c>
      <c r="B3" s="5" t="s">
        <v>22</v>
      </c>
    </row>
    <row r="4" spans="1:5" x14ac:dyDescent="0.5">
      <c r="A4" s="5" t="s">
        <v>19</v>
      </c>
      <c r="B4" t="s">
        <v>10</v>
      </c>
      <c r="C4" t="s">
        <v>5</v>
      </c>
      <c r="D4" t="s">
        <v>17</v>
      </c>
      <c r="E4" t="s">
        <v>20</v>
      </c>
    </row>
    <row r="5" spans="1:5" x14ac:dyDescent="0.5">
      <c r="A5" s="6">
        <v>2021</v>
      </c>
      <c r="B5" s="4"/>
      <c r="C5" s="4"/>
      <c r="D5" s="4"/>
      <c r="E5" s="4"/>
    </row>
    <row r="6" spans="1:5" x14ac:dyDescent="0.5">
      <c r="A6" s="6">
        <v>2022</v>
      </c>
      <c r="B6" s="4">
        <v>17.23995</v>
      </c>
      <c r="C6" s="4">
        <v>14.58534</v>
      </c>
      <c r="D6" s="4">
        <v>8</v>
      </c>
      <c r="E6" s="4">
        <v>39.825290000000003</v>
      </c>
    </row>
    <row r="7" spans="1:5" x14ac:dyDescent="0.5">
      <c r="A7" s="6">
        <v>2023</v>
      </c>
      <c r="B7" s="4">
        <v>14.48001</v>
      </c>
      <c r="C7" s="4">
        <v>15.75245</v>
      </c>
      <c r="D7" s="4">
        <v>7.4074070000000001</v>
      </c>
      <c r="E7" s="4">
        <v>37.639867000000002</v>
      </c>
    </row>
    <row r="8" spans="1:5" x14ac:dyDescent="0.5">
      <c r="A8" s="6">
        <v>2024</v>
      </c>
      <c r="B8" s="4">
        <v>93.617570000000001</v>
      </c>
      <c r="C8" s="4">
        <v>13.91145</v>
      </c>
      <c r="D8" s="4">
        <v>10</v>
      </c>
      <c r="E8" s="4">
        <v>117.52902</v>
      </c>
    </row>
    <row r="9" spans="1:5" x14ac:dyDescent="0.5">
      <c r="A9" s="6" t="s">
        <v>20</v>
      </c>
      <c r="B9" s="4">
        <v>125.33753</v>
      </c>
      <c r="C9" s="4">
        <v>44.24924</v>
      </c>
      <c r="D9" s="4">
        <v>25.407406999999999</v>
      </c>
      <c r="E9" s="4">
        <v>194.99417700000001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8CA3-8FD3-44D9-8389-A7A67794CBE1}">
  <dimension ref="A1:E9"/>
  <sheetViews>
    <sheetView workbookViewId="0">
      <selection sqref="A3:H7"/>
    </sheetView>
  </sheetViews>
  <sheetFormatPr defaultRowHeight="18" x14ac:dyDescent="0.5"/>
  <cols>
    <col min="1" max="1" width="12.5546875" customWidth="1"/>
    <col min="2" max="2" width="15.5546875" customWidth="1"/>
    <col min="3" max="3" width="12" customWidth="1"/>
    <col min="4" max="4" width="17" customWidth="1"/>
    <col min="5" max="5" width="12" customWidth="1"/>
  </cols>
  <sheetData>
    <row r="1" spans="1:5" x14ac:dyDescent="0.5">
      <c r="A1" s="5" t="s">
        <v>12</v>
      </c>
      <c r="B1" t="s">
        <v>21</v>
      </c>
    </row>
    <row r="3" spans="1:5" x14ac:dyDescent="0.5">
      <c r="A3" s="5" t="s">
        <v>18</v>
      </c>
      <c r="B3" s="5" t="s">
        <v>22</v>
      </c>
    </row>
    <row r="4" spans="1:5" x14ac:dyDescent="0.5">
      <c r="A4" s="5" t="s">
        <v>19</v>
      </c>
      <c r="B4" t="s">
        <v>10</v>
      </c>
      <c r="C4" t="s">
        <v>5</v>
      </c>
      <c r="D4" t="s">
        <v>17</v>
      </c>
      <c r="E4" t="s">
        <v>20</v>
      </c>
    </row>
    <row r="5" spans="1:5" x14ac:dyDescent="0.5">
      <c r="A5" s="6">
        <v>2021</v>
      </c>
      <c r="B5" s="4">
        <v>1293246.397377</v>
      </c>
      <c r="C5" s="4">
        <v>229997.26125099999</v>
      </c>
      <c r="D5" s="4">
        <v>2616410.145972</v>
      </c>
      <c r="E5" s="4">
        <v>4139653.8045999999</v>
      </c>
    </row>
    <row r="6" spans="1:5" x14ac:dyDescent="0.5">
      <c r="A6" s="6">
        <v>2022</v>
      </c>
      <c r="B6" s="4">
        <v>1542925.6795669999</v>
      </c>
      <c r="C6" s="4">
        <v>1005380.939719</v>
      </c>
      <c r="D6" s="4">
        <v>2851684.210132</v>
      </c>
      <c r="E6" s="4">
        <v>5399990.8294179998</v>
      </c>
    </row>
    <row r="7" spans="1:5" x14ac:dyDescent="0.5">
      <c r="A7" s="6">
        <v>2023</v>
      </c>
      <c r="B7" s="4">
        <v>365942.91748900001</v>
      </c>
      <c r="C7" s="4">
        <v>1192691.1673570001</v>
      </c>
      <c r="D7" s="4">
        <v>3120239.7052080003</v>
      </c>
      <c r="E7" s="4">
        <v>4678873.7900540009</v>
      </c>
    </row>
    <row r="8" spans="1:5" x14ac:dyDescent="0.5">
      <c r="A8" s="6">
        <v>2024</v>
      </c>
      <c r="B8" s="4">
        <v>25333904.119447</v>
      </c>
      <c r="C8" s="4">
        <v>1380308.3467550001</v>
      </c>
      <c r="D8" s="4">
        <v>3466087.325313</v>
      </c>
      <c r="E8" s="4">
        <v>30180299.791515</v>
      </c>
    </row>
    <row r="9" spans="1:5" x14ac:dyDescent="0.5">
      <c r="A9" s="6" t="s">
        <v>20</v>
      </c>
      <c r="B9" s="4">
        <v>28536019.113880001</v>
      </c>
      <c r="C9" s="4">
        <v>3808377.715082</v>
      </c>
      <c r="D9" s="4">
        <v>12054421.386624999</v>
      </c>
      <c r="E9" s="4">
        <v>44398818.215587005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F413A-C4F4-4B3D-B06B-582789D76369}">
  <dimension ref="A1:U3"/>
  <sheetViews>
    <sheetView showGridLines="0" tabSelected="1" workbookViewId="0">
      <selection activeCell="U14" sqref="U14"/>
    </sheetView>
  </sheetViews>
  <sheetFormatPr defaultRowHeight="18" x14ac:dyDescent="0.5"/>
  <sheetData>
    <row r="1" spans="1:21" x14ac:dyDescent="0.5">
      <c r="A1" s="17" t="s">
        <v>23</v>
      </c>
      <c r="B1" s="18"/>
      <c r="C1" s="18"/>
      <c r="D1" s="18"/>
      <c r="E1" s="18"/>
      <c r="F1" s="18"/>
      <c r="G1" s="18"/>
      <c r="H1" s="18"/>
      <c r="I1" s="18"/>
      <c r="J1" s="18"/>
      <c r="K1" s="18"/>
      <c r="L1" s="18"/>
      <c r="M1" s="18"/>
      <c r="N1" s="18"/>
      <c r="O1" s="18"/>
      <c r="P1" s="18"/>
      <c r="Q1" s="18"/>
      <c r="R1" s="18"/>
      <c r="S1" s="18"/>
      <c r="T1" s="18"/>
      <c r="U1" s="18"/>
    </row>
    <row r="2" spans="1:21" x14ac:dyDescent="0.5">
      <c r="A2" s="18"/>
      <c r="B2" s="18"/>
      <c r="C2" s="18"/>
      <c r="D2" s="18"/>
      <c r="E2" s="18"/>
      <c r="F2" s="18"/>
      <c r="G2" s="18"/>
      <c r="H2" s="18"/>
      <c r="I2" s="18"/>
      <c r="J2" s="18"/>
      <c r="K2" s="18"/>
      <c r="L2" s="18"/>
      <c r="M2" s="18"/>
      <c r="N2" s="18"/>
      <c r="O2" s="18"/>
      <c r="P2" s="18"/>
      <c r="Q2" s="18"/>
      <c r="R2" s="18"/>
      <c r="S2" s="18"/>
      <c r="T2" s="18"/>
      <c r="U2" s="18"/>
    </row>
    <row r="3" spans="1:21" x14ac:dyDescent="0.5">
      <c r="A3" s="18"/>
      <c r="B3" s="18"/>
      <c r="C3" s="18"/>
      <c r="D3" s="18"/>
      <c r="E3" s="18"/>
      <c r="F3" s="18"/>
      <c r="G3" s="18"/>
      <c r="H3" s="18"/>
      <c r="I3" s="18"/>
      <c r="J3" s="18"/>
      <c r="K3" s="18"/>
      <c r="L3" s="18"/>
      <c r="M3" s="18"/>
      <c r="N3" s="18"/>
      <c r="O3" s="18"/>
      <c r="P3" s="18"/>
      <c r="Q3" s="18"/>
      <c r="R3" s="18"/>
      <c r="S3" s="18"/>
      <c r="T3" s="18"/>
      <c r="U3" s="18"/>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HDFC Bank</vt:lpstr>
      <vt:lpstr>ICIC Bank</vt:lpstr>
      <vt:lpstr>State Bank of India</vt:lpstr>
      <vt:lpstr>Table</vt:lpstr>
      <vt:lpstr>Metric Table</vt:lpstr>
      <vt:lpstr>profit</vt:lpstr>
      <vt:lpstr>ROE</vt:lpstr>
      <vt:lpstr>Lone Growth</vt:lpstr>
      <vt:lpstr>Loan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shreyanshtripathi171@gmail.com</dc:creator>
  <cp:lastModifiedBy>shreyanshtripathi171@gmail.com</cp:lastModifiedBy>
  <dcterms:created xsi:type="dcterms:W3CDTF">2026-03-28T21:54:02Z</dcterms:created>
  <dcterms:modified xsi:type="dcterms:W3CDTF">2026-03-29T00:02:15Z</dcterms:modified>
</cp:coreProperties>
</file>